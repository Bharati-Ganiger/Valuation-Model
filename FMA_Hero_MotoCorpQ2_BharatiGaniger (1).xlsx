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843EE14DD64A6F3/Documents/"/>
    </mc:Choice>
  </mc:AlternateContent>
  <xr:revisionPtr revIDLastSave="708" documentId="8_{9FAADFAC-EB56-4F00-A920-7B588151EEFC}" xr6:coauthVersionLast="47" xr6:coauthVersionMax="47" xr10:uidLastSave="{12727B6B-C4B1-4E58-8B1E-A670A8EDDFED}"/>
  <bookViews>
    <workbookView xWindow="-108" yWindow="-108" windowWidth="23256" windowHeight="12456" activeTab="2" xr2:uid="{00000000-000D-0000-FFFF-FFFF00000000}"/>
  </bookViews>
  <sheets>
    <sheet name="Model" sheetId="1" r:id="rId1"/>
    <sheet name="Excutesummary" sheetId="4" state="hidden" r:id="rId2"/>
    <sheet name="Dashboard" sheetId="5" r:id="rId3"/>
    <sheet name="Notes &amp; Assumptions" sheetId="3" r:id="rId4"/>
  </sheets>
  <definedNames>
    <definedName name="_xlchart.v1.0" hidden="1">Excutesummary!$G$36:$G$41</definedName>
    <definedName name="_xlchart.v1.1" hidden="1">Excutesummary!$H$36:$H$41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3" i="5" l="1"/>
  <c r="AF22" i="5"/>
  <c r="C44" i="4"/>
  <c r="C43" i="4"/>
  <c r="C42" i="4"/>
  <c r="C41" i="4"/>
  <c r="Z24" i="5"/>
  <c r="AF21" i="5"/>
  <c r="Z22" i="5"/>
  <c r="Z23" i="5"/>
  <c r="Z21" i="5"/>
  <c r="Z10" i="5"/>
  <c r="AF16" i="5"/>
  <c r="AF18" i="5"/>
  <c r="M40" i="4"/>
  <c r="M39" i="4"/>
  <c r="M38" i="4"/>
  <c r="M37" i="4"/>
  <c r="M36" i="4"/>
  <c r="L40" i="4"/>
  <c r="L39" i="4"/>
  <c r="L38" i="4"/>
  <c r="L37" i="4"/>
  <c r="L36" i="4"/>
  <c r="K40" i="4"/>
  <c r="K39" i="4"/>
  <c r="K38" i="4"/>
  <c r="K37" i="4"/>
  <c r="K36" i="4"/>
  <c r="AF17" i="5"/>
  <c r="AF15" i="5"/>
  <c r="J32" i="1"/>
  <c r="I32" i="1"/>
  <c r="G32" i="1"/>
  <c r="F32" i="1"/>
  <c r="Z16" i="5"/>
  <c r="Z15" i="5"/>
  <c r="AF10" i="5"/>
  <c r="Z11" i="5"/>
  <c r="AF9" i="5"/>
  <c r="Z9" i="5"/>
  <c r="H36" i="4"/>
  <c r="H41" i="4" s="1"/>
  <c r="H40" i="4"/>
  <c r="H39" i="4"/>
  <c r="H38" i="4"/>
  <c r="H37" i="4"/>
  <c r="H24" i="4"/>
  <c r="L31" i="4"/>
  <c r="K31" i="4"/>
  <c r="J31" i="4"/>
  <c r="I31" i="4"/>
  <c r="H31" i="4"/>
  <c r="L30" i="4"/>
  <c r="K30" i="4"/>
  <c r="J30" i="4"/>
  <c r="I30" i="4"/>
  <c r="H30" i="4"/>
  <c r="L29" i="4"/>
  <c r="K29" i="4"/>
  <c r="J29" i="4"/>
  <c r="I29" i="4"/>
  <c r="H29" i="4"/>
  <c r="L28" i="4"/>
  <c r="K28" i="4"/>
  <c r="J28" i="4"/>
  <c r="I28" i="4"/>
  <c r="H28" i="4"/>
  <c r="L27" i="4"/>
  <c r="K27" i="4"/>
  <c r="J27" i="4"/>
  <c r="I27" i="4"/>
  <c r="H27" i="4"/>
  <c r="L26" i="4"/>
  <c r="K26" i="4"/>
  <c r="J26" i="4"/>
  <c r="I26" i="4"/>
  <c r="H26" i="4"/>
  <c r="G29" i="4"/>
  <c r="K14" i="4" a="1"/>
  <c r="K14" i="4" s="1"/>
  <c r="L17" i="4" s="1"/>
  <c r="L18" i="4" s="1"/>
  <c r="K13" i="4" a="1"/>
  <c r="K13" i="4" s="1"/>
  <c r="K12" i="4" a="1"/>
  <c r="K12" i="4" s="1"/>
  <c r="K11" i="4" a="1"/>
  <c r="K11" i="4" s="1"/>
  <c r="K10" i="4" a="1"/>
  <c r="K10" i="4" s="1"/>
  <c r="K9" i="4" a="1"/>
  <c r="K9" i="4" s="1"/>
  <c r="K8" i="4" a="1"/>
  <c r="K8" i="4" s="1"/>
  <c r="K7" i="4" a="1"/>
  <c r="K7" i="4" s="1"/>
  <c r="K6" i="4" a="1"/>
  <c r="K6" i="4" s="1"/>
  <c r="K5" i="4" a="1"/>
  <c r="K5" i="4" s="1"/>
  <c r="K4" i="4" a="1"/>
  <c r="K4" i="4" s="1"/>
  <c r="K3" i="4" a="1"/>
  <c r="K3" i="4" s="1"/>
  <c r="L3" i="4" s="1"/>
  <c r="B13" i="4"/>
  <c r="B12" i="4"/>
  <c r="B11" i="4"/>
  <c r="B10" i="4"/>
  <c r="B9" i="4"/>
  <c r="L20" i="4" s="1"/>
  <c r="B8" i="4"/>
  <c r="B7" i="4"/>
  <c r="B6" i="4"/>
  <c r="B5" i="4"/>
  <c r="B4" i="4"/>
  <c r="L14" i="4" s="1"/>
  <c r="B3" i="4"/>
  <c r="B2" i="4"/>
  <c r="B233" i="1"/>
  <c r="B229" i="1"/>
  <c r="F3" i="4"/>
  <c r="G3" i="4" s="1"/>
  <c r="H3" i="4" s="1"/>
  <c r="I3" i="4" s="1"/>
  <c r="L24" i="4" s="1"/>
  <c r="D6" i="4"/>
  <c r="D5" i="4" s="1"/>
  <c r="D4" i="4" s="1"/>
  <c r="G26" i="4" s="1"/>
  <c r="L4" i="4" l="1"/>
  <c r="L5" i="4"/>
  <c r="L6" i="4"/>
  <c r="G27" i="4"/>
  <c r="I24" i="4"/>
  <c r="L7" i="4"/>
  <c r="G28" i="4"/>
  <c r="J24" i="4"/>
  <c r="L8" i="4"/>
  <c r="K24" i="4"/>
  <c r="L9" i="4"/>
  <c r="L10" i="4"/>
  <c r="L11" i="4"/>
  <c r="L12" i="4"/>
  <c r="L13" i="4"/>
  <c r="D8" i="4"/>
  <c r="L15" i="4" l="1"/>
  <c r="L19" i="4" s="1"/>
  <c r="L21" i="4" s="1"/>
  <c r="D3" i="4" s="1"/>
  <c r="D9" i="4"/>
  <c r="G31" i="4" s="1"/>
  <c r="G30" i="4"/>
  <c r="C35" i="4"/>
  <c r="D37" i="4"/>
  <c r="D36" i="4"/>
  <c r="D35" i="4"/>
  <c r="D34" i="4"/>
  <c r="D33" i="4"/>
  <c r="C37" i="4"/>
  <c r="C36" i="4"/>
  <c r="C34" i="4"/>
  <c r="C33" i="4"/>
  <c r="H18" i="4"/>
  <c r="H17" i="4"/>
  <c r="H16" i="4"/>
  <c r="D29" i="4" a="1"/>
  <c r="D29" i="4" s="1"/>
  <c r="D28" i="4" a="1"/>
  <c r="D28" i="4" s="1"/>
  <c r="E28" i="4" s="1"/>
  <c r="D27" i="4" a="1"/>
  <c r="D27" i="4" s="1"/>
  <c r="E27" i="4" s="1"/>
  <c r="D26" i="4" a="1"/>
  <c r="D26" i="4" s="1"/>
  <c r="D25" i="4" a="1"/>
  <c r="D25" i="4" s="1"/>
  <c r="D24" i="4" a="1"/>
  <c r="D24" i="4" s="1"/>
  <c r="D23" i="4" a="1"/>
  <c r="D23" i="4" s="1"/>
  <c r="D22" i="4" a="1"/>
  <c r="D22" i="4" s="1"/>
  <c r="D21" i="4" a="1"/>
  <c r="D21" i="4" s="1"/>
  <c r="D20" i="4" a="1"/>
  <c r="D20" i="4" s="1"/>
  <c r="D19" i="4" a="1"/>
  <c r="D19" i="4" s="1"/>
  <c r="E19" i="4" s="1"/>
  <c r="C29" i="4" a="1"/>
  <c r="C29" i="4" s="1"/>
  <c r="C28" i="4" a="1"/>
  <c r="C28" i="4" s="1"/>
  <c r="C27" i="4" a="1"/>
  <c r="C27" i="4" s="1"/>
  <c r="C26" i="4" a="1"/>
  <c r="C26" i="4" s="1"/>
  <c r="C25" i="4" a="1"/>
  <c r="C25" i="4" s="1"/>
  <c r="C24" i="4" a="1"/>
  <c r="C24" i="4" s="1"/>
  <c r="C23" i="4" a="1"/>
  <c r="C23" i="4" s="1"/>
  <c r="C21" i="4" a="1"/>
  <c r="C21" i="4" s="1"/>
  <c r="C20" i="4" a="1"/>
  <c r="C20" i="4" s="1"/>
  <c r="C19" i="4" a="1"/>
  <c r="C19" i="4" s="1"/>
  <c r="C22" i="4" a="1"/>
  <c r="C22" i="4" s="1"/>
  <c r="E22" i="4" l="1"/>
  <c r="E26" i="4"/>
  <c r="E29" i="4"/>
  <c r="E20" i="4"/>
  <c r="E21" i="4"/>
  <c r="E24" i="4"/>
  <c r="E25" i="4"/>
  <c r="E23" i="4"/>
  <c r="K4" i="1"/>
  <c r="L4" i="1" s="1"/>
  <c r="M4" i="1" s="1"/>
  <c r="N4" i="1" s="1"/>
  <c r="O4" i="1" s="1"/>
  <c r="P4" i="1" s="1"/>
  <c r="L179" i="1"/>
  <c r="M179" i="1" s="1"/>
  <c r="N179" i="1" s="1"/>
  <c r="O179" i="1" s="1"/>
  <c r="P179" i="1" s="1"/>
  <c r="W219" i="1"/>
  <c r="B230" i="1"/>
  <c r="B227" i="1"/>
  <c r="L125" i="1"/>
  <c r="M125" i="1" s="1"/>
  <c r="N125" i="1" s="1"/>
  <c r="O125" i="1" s="1"/>
  <c r="P125" i="1" s="1"/>
  <c r="V1" i="1"/>
  <c r="J210" i="1"/>
  <c r="I210" i="1"/>
  <c r="H210" i="1"/>
  <c r="G210" i="1"/>
  <c r="F210" i="1"/>
  <c r="E210" i="1"/>
  <c r="D210" i="1"/>
  <c r="C210" i="1"/>
  <c r="B210" i="1"/>
  <c r="L205" i="1"/>
  <c r="M205" i="1" s="1"/>
  <c r="N205" i="1" s="1"/>
  <c r="O205" i="1" s="1"/>
  <c r="P205" i="1" s="1"/>
  <c r="J204" i="1"/>
  <c r="K201" i="1" s="1"/>
  <c r="I204" i="1"/>
  <c r="H204" i="1"/>
  <c r="G204" i="1"/>
  <c r="F204" i="1"/>
  <c r="E204" i="1"/>
  <c r="D204" i="1"/>
  <c r="C204" i="1"/>
  <c r="B204" i="1"/>
  <c r="K200" i="1"/>
  <c r="L198" i="1"/>
  <c r="L200" i="1" s="1"/>
  <c r="J195" i="1"/>
  <c r="I195" i="1"/>
  <c r="H195" i="1"/>
  <c r="G195" i="1"/>
  <c r="F195" i="1"/>
  <c r="E195" i="1"/>
  <c r="D195" i="1"/>
  <c r="C195" i="1"/>
  <c r="J194" i="1"/>
  <c r="I194" i="1"/>
  <c r="H194" i="1"/>
  <c r="G194" i="1"/>
  <c r="F194" i="1"/>
  <c r="E194" i="1"/>
  <c r="D194" i="1"/>
  <c r="C194" i="1"/>
  <c r="B195" i="1"/>
  <c r="B194" i="1"/>
  <c r="B196" i="1" s="1"/>
  <c r="B198" i="1" s="1"/>
  <c r="K79" i="1"/>
  <c r="L79" i="1" s="1"/>
  <c r="M79" i="1" s="1"/>
  <c r="N79" i="1" s="1"/>
  <c r="O79" i="1" s="1"/>
  <c r="P79" i="1" s="1"/>
  <c r="K78" i="1"/>
  <c r="L78" i="1" s="1"/>
  <c r="M78" i="1" s="1"/>
  <c r="N78" i="1" s="1"/>
  <c r="O78" i="1" s="1"/>
  <c r="P78" i="1" s="1"/>
  <c r="K77" i="1"/>
  <c r="L77" i="1" s="1"/>
  <c r="M77" i="1" s="1"/>
  <c r="N77" i="1" s="1"/>
  <c r="O77" i="1" s="1"/>
  <c r="P77" i="1" s="1"/>
  <c r="K76" i="1"/>
  <c r="L76" i="1" s="1"/>
  <c r="K75" i="1"/>
  <c r="L75" i="1" s="1"/>
  <c r="M75" i="1" s="1"/>
  <c r="N75" i="1" s="1"/>
  <c r="L184" i="1"/>
  <c r="M184" i="1" s="1"/>
  <c r="N184" i="1" s="1"/>
  <c r="O184" i="1" s="1"/>
  <c r="P184" i="1" s="1"/>
  <c r="J160" i="1"/>
  <c r="I160" i="1"/>
  <c r="H160" i="1"/>
  <c r="G160" i="1"/>
  <c r="F160" i="1"/>
  <c r="E160" i="1"/>
  <c r="D160" i="1"/>
  <c r="C160" i="1"/>
  <c r="B160" i="1"/>
  <c r="K54" i="1"/>
  <c r="L54" i="1" s="1"/>
  <c r="M54" i="1" s="1"/>
  <c r="N54" i="1" s="1"/>
  <c r="O54" i="1" s="1"/>
  <c r="P54" i="1" s="1"/>
  <c r="K53" i="1"/>
  <c r="L53" i="1" s="1"/>
  <c r="M53" i="1" s="1"/>
  <c r="N53" i="1" s="1"/>
  <c r="O53" i="1" s="1"/>
  <c r="P53" i="1" s="1"/>
  <c r="K52" i="1"/>
  <c r="L52" i="1" s="1"/>
  <c r="M52" i="1" s="1"/>
  <c r="N52" i="1" s="1"/>
  <c r="O52" i="1" s="1"/>
  <c r="P52" i="1" s="1"/>
  <c r="K51" i="1"/>
  <c r="K211" i="1" s="1"/>
  <c r="L43" i="1"/>
  <c r="L32" i="1"/>
  <c r="M32" i="1" s="1"/>
  <c r="N32" i="1" s="1"/>
  <c r="O32" i="1" s="1"/>
  <c r="P32" i="1" s="1"/>
  <c r="K24" i="1"/>
  <c r="L24" i="1" s="1"/>
  <c r="M24" i="1" s="1"/>
  <c r="N24" i="1" s="1"/>
  <c r="O24" i="1" s="1"/>
  <c r="P24" i="1" s="1"/>
  <c r="K94" i="1"/>
  <c r="L94" i="1" s="1"/>
  <c r="M94" i="1" s="1"/>
  <c r="L117" i="1"/>
  <c r="M117" i="1" s="1"/>
  <c r="N117" i="1" s="1"/>
  <c r="O117" i="1" s="1"/>
  <c r="P117" i="1" s="1"/>
  <c r="K108" i="1"/>
  <c r="L111" i="1"/>
  <c r="M111" i="1" s="1"/>
  <c r="N111" i="1" s="1"/>
  <c r="O111" i="1" s="1"/>
  <c r="P111" i="1" s="1"/>
  <c r="J95" i="1"/>
  <c r="I95" i="1"/>
  <c r="H95" i="1"/>
  <c r="G95" i="1"/>
  <c r="F95" i="1"/>
  <c r="E95" i="1"/>
  <c r="D95" i="1"/>
  <c r="C95" i="1"/>
  <c r="J116" i="1"/>
  <c r="I116" i="1"/>
  <c r="H116" i="1"/>
  <c r="G116" i="1"/>
  <c r="F116" i="1"/>
  <c r="E116" i="1"/>
  <c r="D116" i="1"/>
  <c r="C116" i="1"/>
  <c r="B116" i="1"/>
  <c r="J115" i="1"/>
  <c r="I115" i="1"/>
  <c r="H115" i="1"/>
  <c r="G115" i="1"/>
  <c r="F115" i="1"/>
  <c r="E115" i="1"/>
  <c r="D115" i="1"/>
  <c r="C115" i="1"/>
  <c r="B115" i="1"/>
  <c r="J112" i="1"/>
  <c r="I112" i="1"/>
  <c r="H112" i="1"/>
  <c r="G112" i="1"/>
  <c r="F112" i="1"/>
  <c r="E112" i="1"/>
  <c r="D112" i="1"/>
  <c r="C112" i="1"/>
  <c r="J111" i="1"/>
  <c r="I111" i="1"/>
  <c r="H111" i="1"/>
  <c r="G111" i="1"/>
  <c r="F111" i="1"/>
  <c r="E111" i="1"/>
  <c r="D111" i="1"/>
  <c r="C111" i="1"/>
  <c r="J110" i="1"/>
  <c r="I110" i="1"/>
  <c r="H110" i="1"/>
  <c r="G110" i="1"/>
  <c r="F110" i="1"/>
  <c r="E110" i="1"/>
  <c r="D110" i="1"/>
  <c r="C110" i="1"/>
  <c r="B110" i="1"/>
  <c r="C177" i="1"/>
  <c r="J170" i="1"/>
  <c r="I170" i="1"/>
  <c r="H170" i="1"/>
  <c r="G170" i="1"/>
  <c r="F170" i="1"/>
  <c r="E170" i="1"/>
  <c r="D170" i="1"/>
  <c r="C170" i="1"/>
  <c r="B170" i="1"/>
  <c r="J168" i="1"/>
  <c r="I168" i="1"/>
  <c r="H168" i="1"/>
  <c r="G168" i="1"/>
  <c r="F168" i="1"/>
  <c r="E168" i="1"/>
  <c r="D168" i="1"/>
  <c r="C168" i="1"/>
  <c r="J167" i="1"/>
  <c r="I167" i="1"/>
  <c r="H167" i="1"/>
  <c r="G167" i="1"/>
  <c r="F167" i="1"/>
  <c r="E167" i="1"/>
  <c r="D167" i="1"/>
  <c r="C167" i="1"/>
  <c r="J166" i="1"/>
  <c r="I166" i="1"/>
  <c r="I185" i="1" s="1"/>
  <c r="H166" i="1"/>
  <c r="G166" i="1"/>
  <c r="F166" i="1"/>
  <c r="E166" i="1"/>
  <c r="D166" i="1"/>
  <c r="D185" i="1" s="1"/>
  <c r="C166" i="1"/>
  <c r="C185" i="1" s="1"/>
  <c r="H165" i="1"/>
  <c r="G165" i="1"/>
  <c r="E165" i="1"/>
  <c r="D165" i="1"/>
  <c r="C165" i="1"/>
  <c r="J164" i="1"/>
  <c r="I164" i="1"/>
  <c r="H164" i="1"/>
  <c r="G164" i="1"/>
  <c r="F164" i="1"/>
  <c r="E164" i="1"/>
  <c r="D164" i="1"/>
  <c r="C164" i="1"/>
  <c r="C183" i="1" s="1"/>
  <c r="B168" i="1"/>
  <c r="B167" i="1"/>
  <c r="B166" i="1"/>
  <c r="B165" i="1"/>
  <c r="B164" i="1"/>
  <c r="J159" i="1"/>
  <c r="I159" i="1"/>
  <c r="H159" i="1"/>
  <c r="G159" i="1"/>
  <c r="F159" i="1"/>
  <c r="E159" i="1"/>
  <c r="D159" i="1"/>
  <c r="D178" i="1" s="1"/>
  <c r="C159" i="1"/>
  <c r="J158" i="1"/>
  <c r="I158" i="1"/>
  <c r="H158" i="1"/>
  <c r="G158" i="1"/>
  <c r="F158" i="1"/>
  <c r="E158" i="1"/>
  <c r="D158" i="1"/>
  <c r="C158" i="1"/>
  <c r="J157" i="1"/>
  <c r="I157" i="1"/>
  <c r="H157" i="1"/>
  <c r="G157" i="1"/>
  <c r="F157" i="1"/>
  <c r="E157" i="1"/>
  <c r="D157" i="1"/>
  <c r="C157" i="1"/>
  <c r="J156" i="1"/>
  <c r="I156" i="1"/>
  <c r="H156" i="1"/>
  <c r="G156" i="1"/>
  <c r="F156" i="1"/>
  <c r="E156" i="1"/>
  <c r="D156" i="1"/>
  <c r="D175" i="1" s="1"/>
  <c r="C156" i="1"/>
  <c r="J155" i="1"/>
  <c r="I155" i="1"/>
  <c r="H155" i="1"/>
  <c r="G155" i="1"/>
  <c r="F155" i="1"/>
  <c r="E155" i="1"/>
  <c r="D155" i="1"/>
  <c r="C155" i="1"/>
  <c r="B159" i="1"/>
  <c r="B158" i="1"/>
  <c r="B177" i="1" s="1"/>
  <c r="B157" i="1"/>
  <c r="B176" i="1" s="1"/>
  <c r="B156" i="1"/>
  <c r="B155" i="1"/>
  <c r="J129" i="1"/>
  <c r="I129" i="1"/>
  <c r="H129" i="1"/>
  <c r="G129" i="1"/>
  <c r="F129" i="1"/>
  <c r="E129" i="1"/>
  <c r="D129" i="1"/>
  <c r="C129" i="1"/>
  <c r="B129" i="1"/>
  <c r="J128" i="1"/>
  <c r="I128" i="1"/>
  <c r="H128" i="1"/>
  <c r="G128" i="1"/>
  <c r="F128" i="1"/>
  <c r="E128" i="1"/>
  <c r="D128" i="1"/>
  <c r="C128" i="1"/>
  <c r="B128" i="1"/>
  <c r="J127" i="1"/>
  <c r="K127" i="1" s="1"/>
  <c r="L127" i="1" s="1"/>
  <c r="M127" i="1" s="1"/>
  <c r="N127" i="1" s="1"/>
  <c r="O127" i="1" s="1"/>
  <c r="P127" i="1" s="1"/>
  <c r="I127" i="1"/>
  <c r="H127" i="1"/>
  <c r="G127" i="1"/>
  <c r="F127" i="1"/>
  <c r="E127" i="1"/>
  <c r="D127" i="1"/>
  <c r="C127" i="1"/>
  <c r="B127" i="1"/>
  <c r="J126" i="1"/>
  <c r="K126" i="1" s="1"/>
  <c r="L126" i="1" s="1"/>
  <c r="M126" i="1" s="1"/>
  <c r="N126" i="1" s="1"/>
  <c r="O126" i="1" s="1"/>
  <c r="P126" i="1" s="1"/>
  <c r="I126" i="1"/>
  <c r="H126" i="1"/>
  <c r="G126" i="1"/>
  <c r="F126" i="1"/>
  <c r="E126" i="1"/>
  <c r="D126" i="1"/>
  <c r="C126" i="1"/>
  <c r="B126" i="1"/>
  <c r="J125" i="1"/>
  <c r="I125" i="1"/>
  <c r="H125" i="1"/>
  <c r="G125" i="1"/>
  <c r="F125" i="1"/>
  <c r="E125" i="1"/>
  <c r="D125" i="1"/>
  <c r="C125" i="1"/>
  <c r="B125" i="1"/>
  <c r="D105" i="1"/>
  <c r="J104" i="1"/>
  <c r="I104" i="1"/>
  <c r="H104" i="1"/>
  <c r="G104" i="1"/>
  <c r="F104" i="1"/>
  <c r="E104" i="1"/>
  <c r="D104" i="1"/>
  <c r="C104" i="1"/>
  <c r="J103" i="1"/>
  <c r="I103" i="1"/>
  <c r="H103" i="1"/>
  <c r="G103" i="1"/>
  <c r="F103" i="1"/>
  <c r="E103" i="1"/>
  <c r="D103" i="1"/>
  <c r="C103" i="1"/>
  <c r="H99" i="1"/>
  <c r="G99" i="1"/>
  <c r="G120" i="1" s="1"/>
  <c r="F99" i="1"/>
  <c r="F101" i="1" s="1"/>
  <c r="E99" i="1"/>
  <c r="D99" i="1"/>
  <c r="D120" i="1" s="1"/>
  <c r="C99" i="1"/>
  <c r="I99" i="1"/>
  <c r="I101" i="1" s="1"/>
  <c r="B99" i="1"/>
  <c r="J99" i="1"/>
  <c r="J117" i="1" s="1"/>
  <c r="C85" i="1"/>
  <c r="C81" i="1" s="1"/>
  <c r="D85" i="1"/>
  <c r="D81" i="1" s="1"/>
  <c r="E85" i="1"/>
  <c r="E81" i="1" s="1"/>
  <c r="F85" i="1"/>
  <c r="F81" i="1" s="1"/>
  <c r="F59" i="1"/>
  <c r="F56" i="1" s="1"/>
  <c r="G85" i="1"/>
  <c r="G81" i="1" s="1"/>
  <c r="H85" i="1"/>
  <c r="H81" i="1" s="1"/>
  <c r="H59" i="1"/>
  <c r="H56" i="1"/>
  <c r="I59" i="1"/>
  <c r="I56" i="1" s="1"/>
  <c r="I85" i="1"/>
  <c r="C16" i="1"/>
  <c r="J85" i="1"/>
  <c r="B85" i="1"/>
  <c r="B81" i="1" s="1"/>
  <c r="J68" i="1"/>
  <c r="I68" i="1"/>
  <c r="H68" i="1"/>
  <c r="G68" i="1"/>
  <c r="F68" i="1"/>
  <c r="E68" i="1"/>
  <c r="D68" i="1"/>
  <c r="C68" i="1"/>
  <c r="B68" i="1"/>
  <c r="J59" i="1"/>
  <c r="G56" i="1"/>
  <c r="E56" i="1"/>
  <c r="D56" i="1"/>
  <c r="C56" i="1"/>
  <c r="B56" i="1"/>
  <c r="J50" i="1"/>
  <c r="I50" i="1"/>
  <c r="H50" i="1"/>
  <c r="G50" i="1"/>
  <c r="F50" i="1"/>
  <c r="E50" i="1"/>
  <c r="D50" i="1"/>
  <c r="C50" i="1"/>
  <c r="B50" i="1"/>
  <c r="J45" i="1"/>
  <c r="I45" i="1"/>
  <c r="H45" i="1"/>
  <c r="G45" i="1"/>
  <c r="F45" i="1"/>
  <c r="E45" i="1"/>
  <c r="D45" i="1"/>
  <c r="C45" i="1"/>
  <c r="B45" i="1"/>
  <c r="J16" i="1"/>
  <c r="I16" i="1"/>
  <c r="H16" i="1"/>
  <c r="G16" i="1"/>
  <c r="F16" i="1"/>
  <c r="E16" i="1"/>
  <c r="D16" i="1"/>
  <c r="B16" i="1"/>
  <c r="J6" i="1"/>
  <c r="I6" i="1"/>
  <c r="H6" i="1"/>
  <c r="G6" i="1"/>
  <c r="F6" i="1"/>
  <c r="E6" i="1"/>
  <c r="D6" i="1"/>
  <c r="C6" i="1"/>
  <c r="B6" i="1"/>
  <c r="C1" i="1"/>
  <c r="D177" i="1" l="1"/>
  <c r="B174" i="1"/>
  <c r="B186" i="1"/>
  <c r="E177" i="1"/>
  <c r="F174" i="1"/>
  <c r="B175" i="1"/>
  <c r="C175" i="1"/>
  <c r="C178" i="1"/>
  <c r="B187" i="1"/>
  <c r="E117" i="1"/>
  <c r="E184" i="1"/>
  <c r="F179" i="1"/>
  <c r="E175" i="1"/>
  <c r="B179" i="1"/>
  <c r="G179" i="1"/>
  <c r="C117" i="1"/>
  <c r="F175" i="1"/>
  <c r="D187" i="1"/>
  <c r="B178" i="1"/>
  <c r="I117" i="1"/>
  <c r="E105" i="1"/>
  <c r="M198" i="1"/>
  <c r="C187" i="1"/>
  <c r="D101" i="1"/>
  <c r="I196" i="1"/>
  <c r="J196" i="1"/>
  <c r="J198" i="1" s="1"/>
  <c r="G174" i="1"/>
  <c r="C176" i="1"/>
  <c r="G177" i="1"/>
  <c r="B183" i="1"/>
  <c r="E187" i="1"/>
  <c r="D179" i="1"/>
  <c r="D1" i="1"/>
  <c r="E1" i="1" s="1"/>
  <c r="F1" i="1" s="1"/>
  <c r="G1" i="1" s="1"/>
  <c r="H1" i="1" s="1"/>
  <c r="I1" i="1" s="1"/>
  <c r="J1" i="1" s="1"/>
  <c r="K1" i="1" s="1"/>
  <c r="C101" i="1"/>
  <c r="F177" i="1"/>
  <c r="E101" i="1"/>
  <c r="C179" i="1"/>
  <c r="B184" i="1"/>
  <c r="C184" i="1"/>
  <c r="J185" i="1"/>
  <c r="K185" i="1" s="1"/>
  <c r="L185" i="1" s="1"/>
  <c r="M185" i="1" s="1"/>
  <c r="N185" i="1" s="1"/>
  <c r="O185" i="1" s="1"/>
  <c r="P185" i="1" s="1"/>
  <c r="F187" i="1"/>
  <c r="I178" i="1"/>
  <c r="E179" i="1"/>
  <c r="B205" i="1"/>
  <c r="I18" i="1"/>
  <c r="I22" i="1" s="1"/>
  <c r="I26" i="1" s="1"/>
  <c r="I29" i="1" s="1"/>
  <c r="I33" i="1" s="1"/>
  <c r="I37" i="1" s="1"/>
  <c r="I209" i="1" s="1"/>
  <c r="E154" i="1"/>
  <c r="B185" i="1"/>
  <c r="D184" i="1"/>
  <c r="C186" i="1"/>
  <c r="J179" i="1"/>
  <c r="D117" i="1"/>
  <c r="H183" i="1"/>
  <c r="H178" i="1"/>
  <c r="H187" i="1"/>
  <c r="I205" i="1"/>
  <c r="I198" i="1"/>
  <c r="J174" i="1"/>
  <c r="J177" i="1"/>
  <c r="B101" i="1"/>
  <c r="B117" i="1"/>
  <c r="B120" i="1"/>
  <c r="H174" i="1"/>
  <c r="H177" i="1"/>
  <c r="H184" i="1"/>
  <c r="I174" i="1"/>
  <c r="I177" i="1"/>
  <c r="J81" i="1"/>
  <c r="J91" i="1" s="1"/>
  <c r="J218" i="1"/>
  <c r="K216" i="1" s="1"/>
  <c r="E176" i="1"/>
  <c r="H175" i="1"/>
  <c r="I175" i="1"/>
  <c r="F154" i="1"/>
  <c r="J154" i="1"/>
  <c r="J178" i="1"/>
  <c r="K178" i="1" s="1"/>
  <c r="L178" i="1" s="1"/>
  <c r="M178" i="1" s="1"/>
  <c r="N178" i="1" s="1"/>
  <c r="O178" i="1" s="1"/>
  <c r="P178" i="1" s="1"/>
  <c r="H185" i="1"/>
  <c r="G183" i="1"/>
  <c r="G185" i="1"/>
  <c r="K112" i="1"/>
  <c r="K109" i="1" s="1"/>
  <c r="K110" i="1" s="1"/>
  <c r="K99" i="1" s="1"/>
  <c r="I176" i="1"/>
  <c r="G186" i="1"/>
  <c r="G176" i="1"/>
  <c r="G184" i="1"/>
  <c r="I187" i="1"/>
  <c r="H176" i="1"/>
  <c r="J187" i="1"/>
  <c r="K187" i="1" s="1"/>
  <c r="L187" i="1" s="1"/>
  <c r="M187" i="1" s="1"/>
  <c r="N187" i="1" s="1"/>
  <c r="O187" i="1" s="1"/>
  <c r="P187" i="1" s="1"/>
  <c r="C120" i="1"/>
  <c r="D121" i="1" s="1"/>
  <c r="J176" i="1"/>
  <c r="K176" i="1" s="1"/>
  <c r="L176" i="1" s="1"/>
  <c r="M176" i="1" s="1"/>
  <c r="N176" i="1" s="1"/>
  <c r="O176" i="1" s="1"/>
  <c r="P176" i="1" s="1"/>
  <c r="H186" i="1"/>
  <c r="E120" i="1"/>
  <c r="E121" i="1" s="1"/>
  <c r="C174" i="1"/>
  <c r="G175" i="1"/>
  <c r="I186" i="1"/>
  <c r="D186" i="1"/>
  <c r="F196" i="1"/>
  <c r="D174" i="1"/>
  <c r="J186" i="1"/>
  <c r="K186" i="1" s="1"/>
  <c r="L186" i="1" s="1"/>
  <c r="M186" i="1" s="1"/>
  <c r="N186" i="1" s="1"/>
  <c r="O186" i="1" s="1"/>
  <c r="P186" i="1" s="1"/>
  <c r="E186" i="1"/>
  <c r="I120" i="1"/>
  <c r="G196" i="1"/>
  <c r="K202" i="1"/>
  <c r="K213" i="1" s="1"/>
  <c r="F186" i="1"/>
  <c r="H196" i="1"/>
  <c r="K196" i="1"/>
  <c r="K204" i="1" s="1"/>
  <c r="L196" i="1"/>
  <c r="L204" i="1"/>
  <c r="J56" i="1"/>
  <c r="J63" i="1" s="1"/>
  <c r="J165" i="1"/>
  <c r="J184" i="1" s="1"/>
  <c r="E162" i="1"/>
  <c r="E189" i="1" s="1"/>
  <c r="E185" i="1"/>
  <c r="K50" i="1"/>
  <c r="L51" i="1"/>
  <c r="J101" i="1"/>
  <c r="J120" i="1"/>
  <c r="J183" i="1"/>
  <c r="K183" i="1" s="1"/>
  <c r="L183" i="1" s="1"/>
  <c r="M183" i="1" s="1"/>
  <c r="N183" i="1" s="1"/>
  <c r="O183" i="1" s="1"/>
  <c r="P183" i="1" s="1"/>
  <c r="L108" i="1"/>
  <c r="J175" i="1"/>
  <c r="E178" i="1"/>
  <c r="F183" i="1"/>
  <c r="F178" i="1"/>
  <c r="F105" i="1"/>
  <c r="F117" i="1"/>
  <c r="M43" i="1"/>
  <c r="N43" i="1" s="1"/>
  <c r="O43" i="1" s="1"/>
  <c r="H117" i="1"/>
  <c r="H101" i="1"/>
  <c r="H120" i="1"/>
  <c r="F185" i="1"/>
  <c r="I183" i="1"/>
  <c r="D183" i="1"/>
  <c r="E183" i="1"/>
  <c r="H105" i="1"/>
  <c r="I105" i="1"/>
  <c r="J105" i="1"/>
  <c r="F176" i="1"/>
  <c r="G187" i="1"/>
  <c r="G178" i="1"/>
  <c r="B154" i="1"/>
  <c r="G105" i="1"/>
  <c r="G117" i="1"/>
  <c r="G101" i="1"/>
  <c r="F165" i="1"/>
  <c r="F184" i="1" s="1"/>
  <c r="E174" i="1"/>
  <c r="D176" i="1"/>
  <c r="F120" i="1"/>
  <c r="J18" i="1"/>
  <c r="J22" i="1" s="1"/>
  <c r="J26" i="1" s="1"/>
  <c r="J29" i="1" s="1"/>
  <c r="J33" i="1" s="1"/>
  <c r="J37" i="1" s="1"/>
  <c r="J209" i="1" s="1"/>
  <c r="I179" i="1"/>
  <c r="C196" i="1"/>
  <c r="C105" i="1"/>
  <c r="G162" i="1"/>
  <c r="C162" i="1"/>
  <c r="D196" i="1"/>
  <c r="I165" i="1"/>
  <c r="I184" i="1" s="1"/>
  <c r="H179" i="1"/>
  <c r="H162" i="1"/>
  <c r="D162" i="1"/>
  <c r="E196" i="1"/>
  <c r="O75" i="1"/>
  <c r="M76" i="1"/>
  <c r="D154" i="1"/>
  <c r="H154" i="1"/>
  <c r="I154" i="1"/>
  <c r="N94" i="1"/>
  <c r="B162" i="1"/>
  <c r="C154" i="1"/>
  <c r="G154" i="1"/>
  <c r="F91" i="1"/>
  <c r="E91" i="1"/>
  <c r="D91" i="1"/>
  <c r="F63" i="1"/>
  <c r="H91" i="1"/>
  <c r="I63" i="1"/>
  <c r="G91" i="1"/>
  <c r="E63" i="1"/>
  <c r="B91" i="1"/>
  <c r="D18" i="1"/>
  <c r="D22" i="1" s="1"/>
  <c r="D26" i="1" s="1"/>
  <c r="D29" i="1" s="1"/>
  <c r="D33" i="1" s="1"/>
  <c r="D37" i="1" s="1"/>
  <c r="D209" i="1" s="1"/>
  <c r="G63" i="1"/>
  <c r="H63" i="1"/>
  <c r="B18" i="1"/>
  <c r="B22" i="1" s="1"/>
  <c r="B26" i="1" s="1"/>
  <c r="B29" i="1" s="1"/>
  <c r="B33" i="1" s="1"/>
  <c r="B37" i="1" s="1"/>
  <c r="B209" i="1" s="1"/>
  <c r="D63" i="1"/>
  <c r="B63" i="1"/>
  <c r="C63" i="1"/>
  <c r="C91" i="1"/>
  <c r="E18" i="1"/>
  <c r="E22" i="1" s="1"/>
  <c r="E26" i="1" s="1"/>
  <c r="E29" i="1" s="1"/>
  <c r="E33" i="1" s="1"/>
  <c r="E37" i="1" s="1"/>
  <c r="E209" i="1" s="1"/>
  <c r="F18" i="1"/>
  <c r="F22" i="1" s="1"/>
  <c r="F26" i="1" s="1"/>
  <c r="F29" i="1" s="1"/>
  <c r="F33" i="1" s="1"/>
  <c r="F37" i="1" s="1"/>
  <c r="F209" i="1" s="1"/>
  <c r="G18" i="1"/>
  <c r="G22" i="1" s="1"/>
  <c r="G26" i="1" s="1"/>
  <c r="G29" i="1" s="1"/>
  <c r="G33" i="1" s="1"/>
  <c r="G37" i="1" s="1"/>
  <c r="G209" i="1" s="1"/>
  <c r="H18" i="1"/>
  <c r="H22" i="1" s="1"/>
  <c r="H26" i="1" s="1"/>
  <c r="H29" i="1" s="1"/>
  <c r="C18" i="1"/>
  <c r="C22" i="1" s="1"/>
  <c r="C26" i="1" s="1"/>
  <c r="C29" i="1" s="1"/>
  <c r="C33" i="1" s="1"/>
  <c r="C37" i="1" s="1"/>
  <c r="C209" i="1" s="1"/>
  <c r="I81" i="1"/>
  <c r="I91" i="1" s="1"/>
  <c r="H33" i="1" l="1"/>
  <c r="H37" i="1" s="1"/>
  <c r="H209" i="1" s="1"/>
  <c r="H32" i="1"/>
  <c r="AF11" i="5" s="1"/>
  <c r="F121" i="1"/>
  <c r="K177" i="1"/>
  <c r="L177" i="1" s="1"/>
  <c r="J92" i="1"/>
  <c r="L1" i="1"/>
  <c r="I162" i="1"/>
  <c r="I189" i="1" s="1"/>
  <c r="J205" i="1"/>
  <c r="N198" i="1"/>
  <c r="M200" i="1"/>
  <c r="B189" i="1"/>
  <c r="M196" i="1"/>
  <c r="M204" i="1" s="1"/>
  <c r="N201" i="1" s="1"/>
  <c r="D189" i="1"/>
  <c r="E190" i="1" s="1"/>
  <c r="E212" i="1" s="1"/>
  <c r="F162" i="1"/>
  <c r="F189" i="1" s="1"/>
  <c r="K69" i="1"/>
  <c r="C121" i="1"/>
  <c r="C198" i="1"/>
  <c r="C205" i="1"/>
  <c r="F205" i="1"/>
  <c r="F198" i="1"/>
  <c r="E198" i="1"/>
  <c r="E205" i="1"/>
  <c r="F190" i="1"/>
  <c r="F212" i="1" s="1"/>
  <c r="H205" i="1"/>
  <c r="H198" i="1"/>
  <c r="D205" i="1"/>
  <c r="D198" i="1"/>
  <c r="L50" i="1"/>
  <c r="L211" i="1"/>
  <c r="L112" i="1"/>
  <c r="M112" i="1" s="1"/>
  <c r="N112" i="1" s="1"/>
  <c r="O112" i="1" s="1"/>
  <c r="P112" i="1" s="1"/>
  <c r="G205" i="1"/>
  <c r="G198" i="1"/>
  <c r="M201" i="1"/>
  <c r="M202" i="1" s="1"/>
  <c r="L20" i="1"/>
  <c r="L210" i="1" s="1"/>
  <c r="L201" i="1"/>
  <c r="L202" i="1" s="1"/>
  <c r="L213" i="1" s="1"/>
  <c r="K20" i="1"/>
  <c r="K210" i="1" s="1"/>
  <c r="K68" i="1"/>
  <c r="H121" i="1"/>
  <c r="I121" i="1"/>
  <c r="J121" i="1"/>
  <c r="G189" i="1"/>
  <c r="C189" i="1"/>
  <c r="M108" i="1"/>
  <c r="K101" i="1"/>
  <c r="M51" i="1"/>
  <c r="J162" i="1"/>
  <c r="J189" i="1" s="1"/>
  <c r="G121" i="1"/>
  <c r="H189" i="1"/>
  <c r="N76" i="1"/>
  <c r="P75" i="1"/>
  <c r="P43" i="1"/>
  <c r="O94" i="1"/>
  <c r="B92" i="1"/>
  <c r="F92" i="1"/>
  <c r="E92" i="1"/>
  <c r="C92" i="1"/>
  <c r="D92" i="1"/>
  <c r="I92" i="1"/>
  <c r="H92" i="1"/>
  <c r="G92" i="1"/>
  <c r="L69" i="1" l="1"/>
  <c r="L121" i="1"/>
  <c r="M121" i="1" s="1"/>
  <c r="N121" i="1" s="1"/>
  <c r="O121" i="1" s="1"/>
  <c r="P121" i="1" s="1"/>
  <c r="M177" i="1"/>
  <c r="P177" i="1" s="1"/>
  <c r="N177" i="1"/>
  <c r="O177" i="1" s="1"/>
  <c r="M20" i="1"/>
  <c r="M210" i="1" s="1"/>
  <c r="C190" i="1"/>
  <c r="C212" i="1" s="1"/>
  <c r="M69" i="1"/>
  <c r="M68" i="1" s="1"/>
  <c r="O198" i="1"/>
  <c r="N200" i="1"/>
  <c r="N202" i="1" s="1"/>
  <c r="N213" i="1" s="1"/>
  <c r="J190" i="1"/>
  <c r="J212" i="1" s="1"/>
  <c r="N196" i="1"/>
  <c r="N204" i="1" s="1"/>
  <c r="O201" i="1" s="1"/>
  <c r="G190" i="1"/>
  <c r="G212" i="1" s="1"/>
  <c r="M1" i="1"/>
  <c r="M50" i="1"/>
  <c r="M211" i="1"/>
  <c r="L68" i="1"/>
  <c r="M213" i="1"/>
  <c r="L109" i="1"/>
  <c r="M109" i="1" s="1"/>
  <c r="N109" i="1" s="1"/>
  <c r="O109" i="1" s="1"/>
  <c r="P109" i="1" s="1"/>
  <c r="K120" i="1"/>
  <c r="H190" i="1"/>
  <c r="H212" i="1" s="1"/>
  <c r="I190" i="1"/>
  <c r="I212" i="1" s="1"/>
  <c r="D190" i="1"/>
  <c r="D212" i="1" s="1"/>
  <c r="N51" i="1"/>
  <c r="N211" i="1" s="1"/>
  <c r="N108" i="1"/>
  <c r="O76" i="1"/>
  <c r="P94" i="1"/>
  <c r="O51" i="1" l="1"/>
  <c r="O211" i="1" s="1"/>
  <c r="N50" i="1"/>
  <c r="N20" i="1"/>
  <c r="N210" i="1" s="1"/>
  <c r="P198" i="1"/>
  <c r="P200" i="1" s="1"/>
  <c r="O200" i="1"/>
  <c r="O202" i="1" s="1"/>
  <c r="O213" i="1" s="1"/>
  <c r="P196" i="1"/>
  <c r="P204" i="1" s="1"/>
  <c r="P20" i="1" s="1"/>
  <c r="P210" i="1" s="1"/>
  <c r="N1" i="1"/>
  <c r="M110" i="1"/>
  <c r="M99" i="1" s="1"/>
  <c r="M101" i="1" s="1"/>
  <c r="N69" i="1"/>
  <c r="O196" i="1"/>
  <c r="O204" i="1" s="1"/>
  <c r="P201" i="1" s="1"/>
  <c r="P202" i="1" s="1"/>
  <c r="L110" i="1"/>
  <c r="L99" i="1" s="1"/>
  <c r="O108" i="1"/>
  <c r="N110" i="1"/>
  <c r="N99" i="1" s="1"/>
  <c r="L120" i="1"/>
  <c r="M120" i="1" s="1"/>
  <c r="N120" i="1" s="1"/>
  <c r="O120" i="1" s="1"/>
  <c r="P120" i="1" s="1"/>
  <c r="K3" i="1"/>
  <c r="P76" i="1"/>
  <c r="O50" i="1"/>
  <c r="P51" i="1"/>
  <c r="L3" i="1" l="1"/>
  <c r="L10" i="1" s="1"/>
  <c r="O1" i="1"/>
  <c r="O20" i="1"/>
  <c r="O210" i="1" s="1"/>
  <c r="O69" i="1"/>
  <c r="N68" i="1"/>
  <c r="L101" i="1"/>
  <c r="P50" i="1"/>
  <c r="P211" i="1"/>
  <c r="P213" i="1"/>
  <c r="P108" i="1"/>
  <c r="P110" i="1" s="1"/>
  <c r="P99" i="1" s="1"/>
  <c r="O110" i="1"/>
  <c r="O99" i="1" s="1"/>
  <c r="M3" i="1"/>
  <c r="K6" i="1"/>
  <c r="K13" i="1"/>
  <c r="K11" i="1"/>
  <c r="K9" i="1"/>
  <c r="K12" i="1"/>
  <c r="K10" i="1"/>
  <c r="K170" i="1"/>
  <c r="N3" i="1"/>
  <c r="N101" i="1"/>
  <c r="L6" i="1" l="1"/>
  <c r="L9" i="1"/>
  <c r="L11" i="1"/>
  <c r="L13" i="1"/>
  <c r="L170" i="1"/>
  <c r="L165" i="1" s="1"/>
  <c r="L12" i="1"/>
  <c r="P69" i="1"/>
  <c r="P68" i="1" s="1"/>
  <c r="O68" i="1"/>
  <c r="P1" i="1"/>
  <c r="O3" i="1"/>
  <c r="O101" i="1"/>
  <c r="P3" i="1"/>
  <c r="P101" i="1"/>
  <c r="M170" i="1"/>
  <c r="M13" i="1"/>
  <c r="M11" i="1"/>
  <c r="M9" i="1"/>
  <c r="M6" i="1"/>
  <c r="M10" i="1"/>
  <c r="M12" i="1"/>
  <c r="L16" i="1"/>
  <c r="L18" i="1" s="1"/>
  <c r="L22" i="1" s="1"/>
  <c r="L26" i="1" s="1"/>
  <c r="L29" i="1" s="1"/>
  <c r="N170" i="1"/>
  <c r="N12" i="1"/>
  <c r="N10" i="1"/>
  <c r="N11" i="1"/>
  <c r="N9" i="1"/>
  <c r="N6" i="1"/>
  <c r="N13" i="1"/>
  <c r="K160" i="1"/>
  <c r="K89" i="1" s="1"/>
  <c r="K156" i="1"/>
  <c r="K166" i="1"/>
  <c r="K60" i="1" s="1"/>
  <c r="K158" i="1"/>
  <c r="K87" i="1" s="1"/>
  <c r="K168" i="1"/>
  <c r="K62" i="1" s="1"/>
  <c r="K164" i="1"/>
  <c r="K58" i="1" s="1"/>
  <c r="K165" i="1"/>
  <c r="K159" i="1"/>
  <c r="K88" i="1" s="1"/>
  <c r="K157" i="1"/>
  <c r="K86" i="1" s="1"/>
  <c r="K167" i="1"/>
  <c r="K61" i="1" s="1"/>
  <c r="K155" i="1"/>
  <c r="K83" i="1" s="1"/>
  <c r="K16" i="1"/>
  <c r="K18" i="1" s="1"/>
  <c r="K22" i="1" s="1"/>
  <c r="K26" i="1" s="1"/>
  <c r="K29" i="1" s="1"/>
  <c r="L160" i="1"/>
  <c r="L89" i="1" s="1"/>
  <c r="L158" i="1"/>
  <c r="L87" i="1" s="1"/>
  <c r="L156" i="1"/>
  <c r="L84" i="1" s="1"/>
  <c r="L168" i="1"/>
  <c r="L62" i="1" s="1"/>
  <c r="L166" i="1"/>
  <c r="L60" i="1" s="1"/>
  <c r="L164" i="1"/>
  <c r="L58" i="1" s="1"/>
  <c r="L157" i="1"/>
  <c r="L86" i="1" s="1"/>
  <c r="L167" i="1"/>
  <c r="L61" i="1" s="1"/>
  <c r="L155" i="1" l="1"/>
  <c r="L159" i="1"/>
  <c r="L88" i="1" s="1"/>
  <c r="Q1" i="1"/>
  <c r="O170" i="1"/>
  <c r="O10" i="1"/>
  <c r="O12" i="1"/>
  <c r="O9" i="1"/>
  <c r="O6" i="1"/>
  <c r="O11" i="1"/>
  <c r="O13" i="1"/>
  <c r="K162" i="1"/>
  <c r="K59" i="1"/>
  <c r="K56" i="1" s="1"/>
  <c r="N160" i="1"/>
  <c r="N89" i="1" s="1"/>
  <c r="N158" i="1"/>
  <c r="N87" i="1" s="1"/>
  <c r="N156" i="1"/>
  <c r="N84" i="1" s="1"/>
  <c r="N168" i="1"/>
  <c r="N62" i="1" s="1"/>
  <c r="N166" i="1"/>
  <c r="N60" i="1" s="1"/>
  <c r="N164" i="1"/>
  <c r="N58" i="1" s="1"/>
  <c r="N159" i="1"/>
  <c r="N88" i="1" s="1"/>
  <c r="N165" i="1"/>
  <c r="N157" i="1"/>
  <c r="N86" i="1" s="1"/>
  <c r="N167" i="1"/>
  <c r="N61" i="1" s="1"/>
  <c r="N155" i="1"/>
  <c r="L31" i="1"/>
  <c r="L33" i="1" s="1"/>
  <c r="L37" i="1" s="1"/>
  <c r="L209" i="1" s="1"/>
  <c r="M16" i="1"/>
  <c r="M18" i="1" s="1"/>
  <c r="M22" i="1" s="1"/>
  <c r="M26" i="1" s="1"/>
  <c r="M29" i="1" s="1"/>
  <c r="K154" i="1"/>
  <c r="K84" i="1"/>
  <c r="K31" i="1"/>
  <c r="K33" i="1"/>
  <c r="K37" i="1" s="1"/>
  <c r="L154" i="1"/>
  <c r="L83" i="1"/>
  <c r="M160" i="1"/>
  <c r="M89" i="1" s="1"/>
  <c r="M158" i="1"/>
  <c r="M87" i="1" s="1"/>
  <c r="M156" i="1"/>
  <c r="M84" i="1" s="1"/>
  <c r="M168" i="1"/>
  <c r="M62" i="1" s="1"/>
  <c r="M166" i="1"/>
  <c r="M60" i="1" s="1"/>
  <c r="M164" i="1"/>
  <c r="M58" i="1" s="1"/>
  <c r="M157" i="1"/>
  <c r="M86" i="1" s="1"/>
  <c r="M167" i="1"/>
  <c r="M61" i="1" s="1"/>
  <c r="M159" i="1"/>
  <c r="M88" i="1" s="1"/>
  <c r="M155" i="1"/>
  <c r="M165" i="1"/>
  <c r="L162" i="1"/>
  <c r="L59" i="1"/>
  <c r="L56" i="1" s="1"/>
  <c r="N16" i="1"/>
  <c r="N18" i="1" s="1"/>
  <c r="N22" i="1" s="1"/>
  <c r="N26" i="1" s="1"/>
  <c r="N29" i="1" s="1"/>
  <c r="P12" i="1"/>
  <c r="P170" i="1"/>
  <c r="P10" i="1"/>
  <c r="P13" i="1"/>
  <c r="P6" i="1"/>
  <c r="P11" i="1"/>
  <c r="P9" i="1"/>
  <c r="R1" i="1" l="1"/>
  <c r="O16" i="1"/>
  <c r="O18" i="1" s="1"/>
  <c r="O22" i="1" s="1"/>
  <c r="O26" i="1" s="1"/>
  <c r="O29" i="1" s="1"/>
  <c r="O31" i="1" s="1"/>
  <c r="O33" i="1" s="1"/>
  <c r="O37" i="1" s="1"/>
  <c r="O209" i="1" s="1"/>
  <c r="K44" i="1"/>
  <c r="K209" i="1"/>
  <c r="K189" i="1"/>
  <c r="K190" i="1" s="1"/>
  <c r="K212" i="1" s="1"/>
  <c r="M31" i="1"/>
  <c r="M33" i="1" s="1"/>
  <c r="M37" i="1" s="1"/>
  <c r="M209" i="1" s="1"/>
  <c r="O159" i="1"/>
  <c r="O88" i="1" s="1"/>
  <c r="O157" i="1"/>
  <c r="O86" i="1" s="1"/>
  <c r="O155" i="1"/>
  <c r="O167" i="1"/>
  <c r="O61" i="1" s="1"/>
  <c r="O165" i="1"/>
  <c r="O59" i="1" s="1"/>
  <c r="O160" i="1"/>
  <c r="O89" i="1" s="1"/>
  <c r="O156" i="1"/>
  <c r="O84" i="1" s="1"/>
  <c r="O164" i="1"/>
  <c r="O158" i="1"/>
  <c r="O87" i="1" s="1"/>
  <c r="O166" i="1"/>
  <c r="O60" i="1" s="1"/>
  <c r="O168" i="1"/>
  <c r="O62" i="1" s="1"/>
  <c r="P155" i="1"/>
  <c r="P157" i="1"/>
  <c r="P86" i="1" s="1"/>
  <c r="P165" i="1"/>
  <c r="P159" i="1"/>
  <c r="P88" i="1" s="1"/>
  <c r="P167" i="1"/>
  <c r="P61" i="1" s="1"/>
  <c r="P168" i="1"/>
  <c r="P62" i="1" s="1"/>
  <c r="P164" i="1"/>
  <c r="P58" i="1" s="1"/>
  <c r="P160" i="1"/>
  <c r="P89" i="1" s="1"/>
  <c r="P156" i="1"/>
  <c r="P84" i="1" s="1"/>
  <c r="P166" i="1"/>
  <c r="P60" i="1" s="1"/>
  <c r="P158" i="1"/>
  <c r="P87" i="1" s="1"/>
  <c r="N31" i="1"/>
  <c r="N33" i="1" s="1"/>
  <c r="N37" i="1" s="1"/>
  <c r="N209" i="1" s="1"/>
  <c r="N154" i="1"/>
  <c r="N83" i="1"/>
  <c r="M162" i="1"/>
  <c r="M59" i="1"/>
  <c r="M56" i="1" s="1"/>
  <c r="N162" i="1"/>
  <c r="N59" i="1"/>
  <c r="N56" i="1" s="1"/>
  <c r="M154" i="1"/>
  <c r="M83" i="1"/>
  <c r="L189" i="1"/>
  <c r="P16" i="1"/>
  <c r="P18" i="1" s="1"/>
  <c r="P22" i="1" s="1"/>
  <c r="P26" i="1" s="1"/>
  <c r="P29" i="1" s="1"/>
  <c r="K45" i="1"/>
  <c r="K63" i="1" s="1"/>
  <c r="L44" i="1"/>
  <c r="S1" i="1" l="1"/>
  <c r="N189" i="1"/>
  <c r="K217" i="1"/>
  <c r="K229" i="1" s="1"/>
  <c r="L190" i="1"/>
  <c r="O154" i="1"/>
  <c r="O83" i="1"/>
  <c r="P162" i="1"/>
  <c r="P59" i="1"/>
  <c r="P56" i="1" s="1"/>
  <c r="M44" i="1"/>
  <c r="L45" i="1"/>
  <c r="L63" i="1" s="1"/>
  <c r="P31" i="1"/>
  <c r="P33" i="1" s="1"/>
  <c r="P37" i="1" s="1"/>
  <c r="P209" i="1" s="1"/>
  <c r="P154" i="1"/>
  <c r="P83" i="1"/>
  <c r="M189" i="1"/>
  <c r="M190" i="1" s="1"/>
  <c r="M212" i="1" s="1"/>
  <c r="M217" i="1" s="1"/>
  <c r="M229" i="1" s="1"/>
  <c r="O162" i="1"/>
  <c r="O58" i="1"/>
  <c r="O56" i="1" s="1"/>
  <c r="L212" i="1" l="1"/>
  <c r="L217" i="1" s="1"/>
  <c r="L229" i="1" s="1"/>
  <c r="K218" i="1"/>
  <c r="L216" i="1" s="1"/>
  <c r="T1" i="1"/>
  <c r="P189" i="1"/>
  <c r="M45" i="1"/>
  <c r="M63" i="1" s="1"/>
  <c r="N44" i="1"/>
  <c r="O189" i="1"/>
  <c r="O190" i="1" s="1"/>
  <c r="O212" i="1" s="1"/>
  <c r="O217" i="1" s="1"/>
  <c r="O229" i="1" s="1"/>
  <c r="N190" i="1"/>
  <c r="N212" i="1" s="1"/>
  <c r="N217" i="1" s="1"/>
  <c r="N229" i="1" s="1"/>
  <c r="K85" i="1" l="1"/>
  <c r="K81" i="1" s="1"/>
  <c r="K91" i="1" s="1"/>
  <c r="K92" i="1" s="1"/>
  <c r="P190" i="1"/>
  <c r="P212" i="1" s="1"/>
  <c r="P217" i="1" s="1"/>
  <c r="P229" i="1" s="1"/>
  <c r="L219" i="1"/>
  <c r="M219" i="1"/>
  <c r="L218" i="1"/>
  <c r="L85" i="1" s="1"/>
  <c r="L81" i="1" s="1"/>
  <c r="L91" i="1" s="1"/>
  <c r="L92" i="1" s="1"/>
  <c r="U1" i="1"/>
  <c r="N219" i="1"/>
  <c r="O219" i="1"/>
  <c r="O44" i="1"/>
  <c r="N45" i="1"/>
  <c r="N63" i="1" s="1"/>
  <c r="P219" i="1" l="1"/>
  <c r="Q219" i="1" s="1"/>
  <c r="R219" i="1" s="1"/>
  <c r="S219" i="1" s="1"/>
  <c r="T219" i="1" s="1"/>
  <c r="U219" i="1" s="1"/>
  <c r="V219" i="1" s="1"/>
  <c r="M216" i="1"/>
  <c r="M218" i="1" s="1"/>
  <c r="N216" i="1" s="1"/>
  <c r="N218" i="1" s="1"/>
  <c r="P44" i="1"/>
  <c r="P45" i="1" s="1"/>
  <c r="P63" i="1" s="1"/>
  <c r="O45" i="1"/>
  <c r="O63" i="1" s="1"/>
  <c r="Q217" i="1" l="1"/>
  <c r="Q229" i="1" s="1"/>
  <c r="M85" i="1"/>
  <c r="M81" i="1" s="1"/>
  <c r="M91" i="1" s="1"/>
  <c r="M92" i="1" s="1"/>
  <c r="O216" i="1"/>
  <c r="O218" i="1" s="1"/>
  <c r="N85" i="1"/>
  <c r="N81" i="1" s="1"/>
  <c r="N91" i="1" s="1"/>
  <c r="N92" i="1" s="1"/>
  <c r="R217" i="1" l="1"/>
  <c r="R229" i="1" s="1"/>
  <c r="P216" i="1"/>
  <c r="P218" i="1" s="1"/>
  <c r="P85" i="1" s="1"/>
  <c r="P81" i="1" s="1"/>
  <c r="P91" i="1" s="1"/>
  <c r="P92" i="1" s="1"/>
  <c r="O85" i="1"/>
  <c r="O81" i="1" s="1"/>
  <c r="O91" i="1" s="1"/>
  <c r="O92" i="1" s="1"/>
  <c r="S217" i="1" l="1"/>
  <c r="S229" i="1" s="1"/>
  <c r="T217" i="1" l="1"/>
  <c r="T229" i="1" s="1"/>
  <c r="U217" i="1" l="1"/>
  <c r="U229" i="1" s="1"/>
  <c r="V217" i="1" l="1"/>
  <c r="V229" i="1" s="1"/>
  <c r="W217" i="1" l="1"/>
  <c r="W229" i="1" s="1"/>
  <c r="B235" i="1" l="1"/>
  <c r="B231" i="1"/>
  <c r="B14" i="4" l="1"/>
  <c r="B15" i="4"/>
  <c r="C1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<sst xmlns="http://schemas.openxmlformats.org/spreadsheetml/2006/main" count="332" uniqueCount="246">
  <si>
    <t>Revenue</t>
  </si>
  <si>
    <t>Gross Revenue from operations</t>
  </si>
  <si>
    <t>Other Income</t>
  </si>
  <si>
    <t>Total Revenue</t>
  </si>
  <si>
    <t>Costs</t>
  </si>
  <si>
    <t>Raw Materials</t>
  </si>
  <si>
    <t>Purchases</t>
  </si>
  <si>
    <t>Changes in Stock in Trade</t>
  </si>
  <si>
    <t>Employee Cost</t>
  </si>
  <si>
    <t>Other Expenses</t>
  </si>
  <si>
    <t>Excise Duty</t>
  </si>
  <si>
    <t>Total Costs</t>
  </si>
  <si>
    <t>Operating Profits</t>
  </si>
  <si>
    <t>Depreciation &amp; Amortization</t>
  </si>
  <si>
    <t>EBIT</t>
  </si>
  <si>
    <t>Interest</t>
  </si>
  <si>
    <t>Profit Before Exceptional Items and Taxes</t>
  </si>
  <si>
    <t>Other/Exceptional Items</t>
  </si>
  <si>
    <t>Profit Before Taxes</t>
  </si>
  <si>
    <t>Taxes</t>
  </si>
  <si>
    <t>Profit Before Minority Interest and Share in Associates</t>
  </si>
  <si>
    <t>Profit for the Year</t>
  </si>
  <si>
    <t>Sources of Funds</t>
  </si>
  <si>
    <t>Shareholder Funds</t>
  </si>
  <si>
    <t>Share Capital</t>
  </si>
  <si>
    <t>Reserves &amp; Surplus</t>
  </si>
  <si>
    <t>Total Equity</t>
  </si>
  <si>
    <t>Long Term Liabilities</t>
  </si>
  <si>
    <t>Lease/Loans</t>
  </si>
  <si>
    <t>Other Long Term Liabilities</t>
  </si>
  <si>
    <t>Long Term Provisions</t>
  </si>
  <si>
    <t>Deferred Tax Liabilities</t>
  </si>
  <si>
    <t>Current Liabilities</t>
  </si>
  <si>
    <t>Short Term Borrowings</t>
  </si>
  <si>
    <t>Trade Payables</t>
  </si>
  <si>
    <t>Other Current Liabilities</t>
  </si>
  <si>
    <t>Short Term Provisions</t>
  </si>
  <si>
    <t>Other Finance Liabilities</t>
  </si>
  <si>
    <t>Total</t>
  </si>
  <si>
    <t>Application Of Funds</t>
  </si>
  <si>
    <t>Long Term Assets</t>
  </si>
  <si>
    <t>Intangible Assets</t>
  </si>
  <si>
    <t>Rights of Use Assets</t>
  </si>
  <si>
    <t>Capital Work in Progress</t>
  </si>
  <si>
    <t>Intangible Assets Under Development</t>
  </si>
  <si>
    <t>Non-Current Investments</t>
  </si>
  <si>
    <t>Other Financial Assets</t>
  </si>
  <si>
    <t>Long Term Loans and Advances</t>
  </si>
  <si>
    <t>Other Non Current Assets</t>
  </si>
  <si>
    <t>Income Tax Assets</t>
  </si>
  <si>
    <t>Current Assets</t>
  </si>
  <si>
    <t>Inventories</t>
  </si>
  <si>
    <t>Receivables</t>
  </si>
  <si>
    <t>Cash &amp; Bank Balances</t>
  </si>
  <si>
    <t>Loans &amp; Advances</t>
  </si>
  <si>
    <t>Other Current Assets</t>
  </si>
  <si>
    <t>Current Tax Asset</t>
  </si>
  <si>
    <t>Investments</t>
  </si>
  <si>
    <t>check (asset = liabilities) (should be zero)</t>
  </si>
  <si>
    <t>Capacity</t>
  </si>
  <si>
    <t>New Capacity</t>
  </si>
  <si>
    <t>Domestic</t>
  </si>
  <si>
    <t>Exports</t>
  </si>
  <si>
    <t>Capacity Utilization</t>
  </si>
  <si>
    <t>Growth in Domestic Sales</t>
  </si>
  <si>
    <t>Growth in Export Sales</t>
  </si>
  <si>
    <t>Growth in Total Sales</t>
  </si>
  <si>
    <t>Industry Data</t>
  </si>
  <si>
    <t>Domestic Sales</t>
  </si>
  <si>
    <t>Growth in Domestic Market</t>
  </si>
  <si>
    <t>Growth in Exports</t>
  </si>
  <si>
    <t>Market Share</t>
  </si>
  <si>
    <t>Overall</t>
  </si>
  <si>
    <t>Growth</t>
  </si>
  <si>
    <t>Cost Drivers</t>
  </si>
  <si>
    <t>Cost Per Car</t>
  </si>
  <si>
    <t>Own Use Vehicles</t>
  </si>
  <si>
    <t>Working Capital Assumptions</t>
  </si>
  <si>
    <t>Tax Liabilities</t>
  </si>
  <si>
    <t>Revenue for Operations</t>
  </si>
  <si>
    <t>Working Capital as % of Sales</t>
  </si>
  <si>
    <t>Total Working Capital</t>
  </si>
  <si>
    <t>Change in Net Working Capital</t>
  </si>
  <si>
    <t>Capex Schedule</t>
  </si>
  <si>
    <t>Tangible</t>
  </si>
  <si>
    <t>Intangible</t>
  </si>
  <si>
    <t>Capex on Account of New Capacity</t>
  </si>
  <si>
    <t>Capex on Account of Wear and Tear</t>
  </si>
  <si>
    <t>Total Capex</t>
  </si>
  <si>
    <t>Depreciation</t>
  </si>
  <si>
    <t>Depreciation as % of LY Net Fixed Assets</t>
  </si>
  <si>
    <t>Other/Exceptional Items(income)</t>
  </si>
  <si>
    <t>Tangible Assets(PPE)</t>
  </si>
  <si>
    <t>Revenue Per Vehicle(two wheeler)</t>
  </si>
  <si>
    <t>Assets per Vehicles(two wheeler) Capacity</t>
  </si>
  <si>
    <t>Free Cash flow (FCF)</t>
  </si>
  <si>
    <t>PAT (Net Profit)</t>
  </si>
  <si>
    <t>Add : Depreciation</t>
  </si>
  <si>
    <t>Add : Change in Debt</t>
  </si>
  <si>
    <t>Less : Change in working Capital</t>
  </si>
  <si>
    <t>Less : CAPEX</t>
  </si>
  <si>
    <t>Opening Cash</t>
  </si>
  <si>
    <t>Cash Flow for the period</t>
  </si>
  <si>
    <t>Closing Cash</t>
  </si>
  <si>
    <t>Growth %</t>
  </si>
  <si>
    <t>Terminal Value</t>
  </si>
  <si>
    <t>Cash Growth</t>
  </si>
  <si>
    <t>Discount Rate</t>
  </si>
  <si>
    <t>Risk free rate</t>
  </si>
  <si>
    <t>Market Premium</t>
  </si>
  <si>
    <t>Switch MP</t>
  </si>
  <si>
    <t>Cash as on today (T)</t>
  </si>
  <si>
    <t>No of Shares</t>
  </si>
  <si>
    <t>Per Share value</t>
  </si>
  <si>
    <t>Current share price</t>
  </si>
  <si>
    <t>TV</t>
  </si>
  <si>
    <t>T</t>
  </si>
  <si>
    <t>P/L</t>
  </si>
  <si>
    <t>All the values in the model are in Crores(cr.)</t>
  </si>
  <si>
    <t>Notes &amp; Assumptions – Hero MotoCorp Ltd. Valuation Model</t>
  </si>
  <si>
    <t>Revenue &amp; Market Assumptions</t>
  </si>
  <si>
    <t>Volume Forecast</t>
  </si>
  <si>
    <t>Volumes are based on:</t>
  </si>
  <si>
    <t>Installed production capacity of existing plants (Haridwar, Gurugram, Neemrana, Halol).</t>
  </si>
  <si>
    <t>Realizations / Revenue per Vehicle</t>
  </si>
  <si>
    <t>Historical realization growth was volatile; therefore, assumptions moderate long-term price growth.</t>
  </si>
  <si>
    <t>Cost Structure Assumptions</t>
  </si>
  <si>
    <t>CapEx includes:</t>
  </si>
  <si>
    <t>Maintenance CapEx (wear &amp; tear) estimated using historical patterns.</t>
  </si>
  <si>
    <t>Expansion CapEx for incremental capacity addition (Chittoor + minor line expansions).</t>
  </si>
  <si>
    <t>CapEx gradually increases from FY25 to FY30 in line with capacity rollout.</t>
  </si>
  <si>
    <t>Inventories: 4% of sales</t>
  </si>
  <si>
    <t>Receivables: 8% of sales</t>
  </si>
  <si>
    <t>Other current assets: 0.9%</t>
  </si>
  <si>
    <t>Loans &amp; advances: 0.1%</t>
  </si>
  <si>
    <t>Other current liabilities: 1.6%</t>
  </si>
  <si>
    <t>Finance liabilities: 0.7%</t>
  </si>
  <si>
    <t>Provisions: 0.4%</t>
  </si>
  <si>
    <t>Discount Rate (WACC) – 12%</t>
  </si>
  <si>
    <t>Terminal Value Assumption – 2%</t>
  </si>
  <si>
    <t>Cash Flow Growth – 3.5%</t>
  </si>
  <si>
    <t>Higher FCF conversion,</t>
  </si>
  <si>
    <t>Better working capital efficiency,</t>
  </si>
  <si>
    <t>Operating leverage,</t>
  </si>
  <si>
    <t>Steady pricing power.</t>
  </si>
  <si>
    <t>Present Value &amp; Valuation Outcome</t>
  </si>
  <si>
    <t>Total Enterprise Value (EV): ₹ 1,05,442 crore</t>
  </si>
  <si>
    <t>Intrinsic Value per Share: ₹ 5,272</t>
  </si>
  <si>
    <t>Current Market Price: ₹ 5,418</t>
  </si>
  <si>
    <t>Depreciation &amp; Capital Expenditure</t>
  </si>
  <si>
    <t xml:space="preserve">  Taxation Assumptions</t>
  </si>
  <si>
    <t>Trade payables: 15% of sales</t>
  </si>
  <si>
    <t>Enterprise Value</t>
  </si>
  <si>
    <t>Year</t>
  </si>
  <si>
    <t>EBIDTA</t>
  </si>
  <si>
    <t>Margin</t>
  </si>
  <si>
    <t>2020A</t>
  </si>
  <si>
    <t>2021A</t>
  </si>
  <si>
    <t>2022A</t>
  </si>
  <si>
    <t>2023A</t>
  </si>
  <si>
    <t>2024A</t>
  </si>
  <si>
    <t>2025E</t>
  </si>
  <si>
    <t>2026E</t>
  </si>
  <si>
    <t>2027E</t>
  </si>
  <si>
    <t>2028E</t>
  </si>
  <si>
    <t>2029E</t>
  </si>
  <si>
    <t>2030E</t>
  </si>
  <si>
    <t>Metric</t>
  </si>
  <si>
    <t xml:space="preserve">Revenue </t>
  </si>
  <si>
    <t>CAGR</t>
  </si>
  <si>
    <t>PAT</t>
  </si>
  <si>
    <t>Cash Flow</t>
  </si>
  <si>
    <r>
      <t xml:space="preserve">This valuation model estimates the intrinsic value of </t>
    </r>
    <r>
      <rPr>
        <b/>
        <sz val="12"/>
        <color rgb="FF000000"/>
        <rFont val="Calibri"/>
        <family val="2"/>
      </rPr>
      <t>Hero MotoCorp Ltd.</t>
    </r>
    <r>
      <rPr>
        <sz val="12"/>
        <color rgb="FF000000"/>
        <rFont val="Calibri"/>
        <family val="2"/>
      </rPr>
      <t xml:space="preserve"> using a </t>
    </r>
    <r>
      <rPr>
        <b/>
        <sz val="12"/>
        <color rgb="FF000000"/>
        <rFont val="Calibri"/>
        <family val="2"/>
      </rPr>
      <t>Discounted Cash Flow (DCF)</t>
    </r>
    <r>
      <rPr>
        <sz val="12"/>
        <color rgb="FF000000"/>
        <rFont val="Calibri"/>
        <family val="2"/>
      </rPr>
      <t xml:space="preserve"> approach on a standalone basis (values in ₹ crore). 
Forecast period covers </t>
    </r>
    <r>
      <rPr>
        <b/>
        <sz val="12"/>
        <color rgb="FF000000"/>
        <rFont val="Calibri"/>
        <family val="2"/>
      </rPr>
      <t>FY2025–FY2030</t>
    </r>
    <r>
      <rPr>
        <sz val="12"/>
        <color rgb="FF000000"/>
        <rFont val="Calibri"/>
        <family val="2"/>
      </rPr>
      <t>, followed by a terminal value</t>
    </r>
  </si>
  <si>
    <r>
      <t xml:space="preserve">Historical other income has been </t>
    </r>
    <r>
      <rPr>
        <b/>
        <sz val="12"/>
        <color rgb="FF000000"/>
        <rFont val="Calibri"/>
        <family val="2"/>
      </rPr>
      <t>volatile</t>
    </r>
    <r>
      <rPr>
        <sz val="12"/>
        <color rgb="FF000000"/>
        <rFont val="Calibri"/>
        <family val="2"/>
      </rPr>
      <t xml:space="preserve">, ranging from </t>
    </r>
    <r>
      <rPr>
        <b/>
        <sz val="12"/>
        <color rgb="FF000000"/>
        <rFont val="Calibri"/>
        <family val="2"/>
      </rPr>
      <t>₹422 crore to ₹893 crore</t>
    </r>
    <r>
      <rPr>
        <sz val="12"/>
        <color rgb="FF000000"/>
        <rFont val="Calibri"/>
        <family val="2"/>
      </rPr>
      <t xml:space="preserve"> over the last nine years.</t>
    </r>
  </si>
  <si>
    <r>
      <t xml:space="preserve">To avoid overstating or understating the long-term cash flows, using the </t>
    </r>
    <r>
      <rPr>
        <b/>
        <sz val="12"/>
        <color rgb="FF000000"/>
        <rFont val="Calibri"/>
        <family val="2"/>
      </rPr>
      <t>median historical value of ₹565 crore</t>
    </r>
    <r>
      <rPr>
        <sz val="12"/>
        <color rgb="FF000000"/>
        <rFont val="Calibri"/>
        <family val="2"/>
      </rPr>
      <t xml:space="preserve"> as a stable estimate</t>
    </r>
  </si>
  <si>
    <r>
      <t xml:space="preserve">Domestic two-wheeler industry growth assumed at </t>
    </r>
    <r>
      <rPr>
        <b/>
        <sz val="12"/>
        <color rgb="FF000000"/>
        <rFont val="Calibri"/>
        <family val="2"/>
      </rPr>
      <t>13% per annum</t>
    </r>
    <r>
      <rPr>
        <sz val="12"/>
        <color rgb="FF000000"/>
        <rFont val="Calibri"/>
        <family val="2"/>
      </rPr>
      <t>.</t>
    </r>
  </si>
  <si>
    <r>
      <t xml:space="preserve">Export market growth assumed at </t>
    </r>
    <r>
      <rPr>
        <b/>
        <sz val="12"/>
        <color rgb="FF000000"/>
        <rFont val="Calibri"/>
        <family val="2"/>
      </rPr>
      <t>5.21%</t>
    </r>
    <r>
      <rPr>
        <sz val="12"/>
        <color rgb="FF000000"/>
        <rFont val="Calibri"/>
        <family val="2"/>
      </rPr>
      <t>, in line with historical average</t>
    </r>
  </si>
  <si>
    <r>
      <t xml:space="preserve">Market share is assumed to stabilise around </t>
    </r>
    <r>
      <rPr>
        <b/>
        <sz val="12"/>
        <color rgb="FF000000"/>
        <rFont val="Calibri"/>
        <family val="2"/>
      </rPr>
      <t>29%</t>
    </r>
    <r>
      <rPr>
        <sz val="12"/>
        <color rgb="FF000000"/>
        <rFont val="Calibri"/>
        <family val="2"/>
      </rPr>
      <t>, reflecting Hero MotoCorp’s strong brand equity and competitive positioning despite market fragmentation.</t>
    </r>
  </si>
  <si>
    <r>
      <t xml:space="preserve">Expected commissioning of the </t>
    </r>
    <r>
      <rPr>
        <b/>
        <sz val="12"/>
        <color rgb="FF000000"/>
        <rFont val="Calibri"/>
        <family val="2"/>
      </rPr>
      <t>Chittoor plant by FY2025</t>
    </r>
  </si>
  <si>
    <r>
      <t xml:space="preserve">Capacity utilisation gradually increases from current levels towards </t>
    </r>
    <r>
      <rPr>
        <b/>
        <sz val="12"/>
        <color rgb="FF000000"/>
        <rFont val="Calibri"/>
        <family val="2"/>
      </rPr>
      <t>85%</t>
    </r>
    <r>
      <rPr>
        <sz val="12"/>
        <color rgb="FF000000"/>
        <rFont val="Calibri"/>
        <family val="2"/>
      </rPr>
      <t xml:space="preserve"> over the forecast horizon</t>
    </r>
  </si>
  <si>
    <r>
      <t xml:space="preserve">Revenue per vehicle is grown at </t>
    </r>
    <r>
      <rPr>
        <b/>
        <sz val="12"/>
        <color rgb="FF000000"/>
        <rFont val="Calibri"/>
        <family val="2"/>
      </rPr>
      <t>9% annually</t>
    </r>
    <r>
      <rPr>
        <sz val="12"/>
        <color rgb="FF000000"/>
        <rFont val="Calibri"/>
        <family val="2"/>
      </rPr>
      <t>.</t>
    </r>
  </si>
  <si>
    <r>
      <t xml:space="preserve">Raw material cost fixed at </t>
    </r>
    <r>
      <rPr>
        <b/>
        <sz val="12"/>
        <color rgb="FF000000"/>
        <rFont val="Calibri"/>
        <family val="2"/>
      </rPr>
      <t>68.5%</t>
    </r>
    <r>
      <rPr>
        <sz val="12"/>
        <color rgb="FF000000"/>
        <rFont val="Calibri"/>
        <family val="2"/>
      </rPr>
      <t xml:space="preserve"> of revenue, Historical raw material cost ranged from 62% – 71%, hence 68.5% is a mid-range, conservative estimate</t>
    </r>
  </si>
  <si>
    <r>
      <t xml:space="preserve">Employee cost maintained at </t>
    </r>
    <r>
      <rPr>
        <b/>
        <sz val="12"/>
        <color rgb="FF000000"/>
        <rFont val="Calibri"/>
        <family val="2"/>
      </rPr>
      <t>6.5% of revenue</t>
    </r>
    <r>
      <rPr>
        <sz val="12"/>
        <color rgb="FF000000"/>
        <rFont val="Calibri"/>
        <family val="2"/>
      </rPr>
      <t>, based on the last five-year average</t>
    </r>
  </si>
  <si>
    <r>
      <t xml:space="preserve">Other expenses assumed at </t>
    </r>
    <r>
      <rPr>
        <b/>
        <sz val="12"/>
        <color rgb="FF000000"/>
        <rFont val="Calibri"/>
        <family val="2"/>
      </rPr>
      <t>11% of revenue</t>
    </r>
    <r>
      <rPr>
        <sz val="12"/>
        <color rgb="FF000000"/>
        <rFont val="Calibri"/>
        <family val="2"/>
      </rPr>
      <t>, consistent with historical data</t>
    </r>
  </si>
  <si>
    <r>
      <t xml:space="preserve">Purchases assumed at </t>
    </r>
    <r>
      <rPr>
        <b/>
        <sz val="12"/>
        <color rgb="FF000000"/>
        <rFont val="Calibri"/>
        <family val="2"/>
      </rPr>
      <t>1.29%</t>
    </r>
    <r>
      <rPr>
        <sz val="12"/>
        <color rgb="FF000000"/>
        <rFont val="Calibri"/>
        <family val="2"/>
      </rPr>
      <t xml:space="preserve"> of revenue (based on historical pattern).</t>
    </r>
  </si>
  <si>
    <r>
      <t xml:space="preserve">Changes in stock maintained at </t>
    </r>
    <r>
      <rPr>
        <b/>
        <sz val="12"/>
        <color rgb="FF000000"/>
        <rFont val="Calibri"/>
        <family val="2"/>
      </rPr>
      <t>0.48% of revenue</t>
    </r>
  </si>
  <si>
    <r>
      <t xml:space="preserve">Depreciation assumed at </t>
    </r>
    <r>
      <rPr>
        <b/>
        <sz val="12"/>
        <color rgb="FF000000"/>
        <rFont val="Calibri"/>
        <family val="2"/>
      </rPr>
      <t>~11% of net fixed assets</t>
    </r>
    <r>
      <rPr>
        <sz val="12"/>
        <color rgb="FF000000"/>
        <rFont val="Calibri"/>
        <family val="2"/>
      </rPr>
      <t>, consistent with the last five years.</t>
    </r>
  </si>
  <si>
    <r>
      <t xml:space="preserve">Working capital items are projected as a </t>
    </r>
    <r>
      <rPr>
        <b/>
        <sz val="12"/>
        <color rgb="FF000000"/>
        <rFont val="Calibri"/>
        <family val="2"/>
      </rPr>
      <t>percentage of sales</t>
    </r>
    <r>
      <rPr>
        <sz val="12"/>
        <color rgb="FF000000"/>
        <rFont val="Calibri"/>
        <family val="2"/>
      </rPr>
      <t>, using historical averages:</t>
    </r>
  </si>
  <si>
    <r>
      <t xml:space="preserve">Other financial assets: </t>
    </r>
    <r>
      <rPr>
        <b/>
        <sz val="12"/>
        <color rgb="FF000000"/>
        <rFont val="Calibri"/>
        <family val="2"/>
      </rPr>
      <t>13% of sales</t>
    </r>
    <r>
      <rPr>
        <sz val="12"/>
        <color rgb="FF000000"/>
        <rFont val="Calibri"/>
        <family val="2"/>
      </rPr>
      <t xml:space="preserve"> (based on historical 11%–21%, using conservative midpoint)</t>
    </r>
  </si>
  <si>
    <r>
      <t xml:space="preserve">Corporate tax rate assumed at </t>
    </r>
    <r>
      <rPr>
        <b/>
        <sz val="12"/>
        <color rgb="FF000000"/>
        <rFont val="Calibri"/>
        <family val="2"/>
      </rPr>
      <t>30%</t>
    </r>
    <r>
      <rPr>
        <sz val="12"/>
        <color rgb="FF000000"/>
        <rFont val="Calibri"/>
        <family val="2"/>
      </rPr>
      <t>, consistent with statutory Indian corporate tax norms.</t>
    </r>
  </si>
  <si>
    <r>
      <t>Risk-Free Rate: 7%</t>
    </r>
    <r>
      <rPr>
        <sz val="10"/>
        <color rgb="FF000000"/>
        <rFont val="Calibri"/>
        <family val="2"/>
      </rPr>
      <t xml:space="preserve"> based on long-term Indian government bond yields.</t>
    </r>
  </si>
  <si>
    <r>
      <t>Market Risk Premium: 5%</t>
    </r>
    <r>
      <rPr>
        <sz val="10"/>
        <color rgb="FF000000"/>
        <rFont val="Calibri"/>
        <family val="2"/>
      </rPr>
      <t>, aligned with Indian equity market benchmarks.</t>
    </r>
  </si>
  <si>
    <r>
      <t>Switch MP = 1</t>
    </r>
    <r>
      <rPr>
        <sz val="10"/>
        <color rgb="FF000000"/>
        <rFont val="Calibri"/>
        <family val="2"/>
      </rPr>
      <t>, indicating full application of the market premium.</t>
    </r>
  </si>
  <si>
    <r>
      <t xml:space="preserve">WACC of </t>
    </r>
    <r>
      <rPr>
        <b/>
        <sz val="10"/>
        <color rgb="FF000000"/>
        <rFont val="Calibri"/>
        <family val="2"/>
      </rPr>
      <t>12%</t>
    </r>
    <r>
      <rPr>
        <sz val="10"/>
        <color rgb="FF000000"/>
        <rFont val="Calibri"/>
        <family val="2"/>
      </rPr>
      <t xml:space="preserve"> reflects Hero MotoCorp’s business risk, competitive intensity, and exposure to input price volatility.</t>
    </r>
  </si>
  <si>
    <r>
      <t xml:space="preserve">A conservative </t>
    </r>
    <r>
      <rPr>
        <b/>
        <sz val="10"/>
        <color rgb="FF000000"/>
        <rFont val="Calibri"/>
        <family val="2"/>
      </rPr>
      <t>2% terminal growth rate</t>
    </r>
    <r>
      <rPr>
        <sz val="10"/>
        <color rgb="FF000000"/>
        <rFont val="Calibri"/>
        <family val="2"/>
      </rPr>
      <t xml:space="preserve"> is used considering:</t>
    </r>
  </si>
  <si>
    <r>
      <t xml:space="preserve">Cash flows assumed to grow at </t>
    </r>
    <r>
      <rPr>
        <b/>
        <sz val="10"/>
        <color rgb="FF000000"/>
        <rFont val="Calibri"/>
        <family val="2"/>
      </rPr>
      <t>3.5%</t>
    </r>
    <r>
      <rPr>
        <sz val="10"/>
        <color rgb="FF000000"/>
        <rFont val="Calibri"/>
        <family val="2"/>
      </rPr>
      <t>, slightly above the 2% terminal rate.</t>
    </r>
  </si>
  <si>
    <r>
      <t xml:space="preserve">PV of forecasted cash flows: </t>
    </r>
    <r>
      <rPr>
        <b/>
        <sz val="10"/>
        <color rgb="FF000000"/>
        <rFont val="Calibri"/>
        <family val="2"/>
      </rPr>
      <t>₹ 1,00,275 crore</t>
    </r>
  </si>
  <si>
    <r>
      <t xml:space="preserve">Cash on books (today): </t>
    </r>
    <r>
      <rPr>
        <b/>
        <sz val="10"/>
        <color rgb="FF000000"/>
        <rFont val="Calibri"/>
        <family val="2"/>
      </rPr>
      <t>₹ 5,167 crore</t>
    </r>
  </si>
  <si>
    <t>Historical Average</t>
  </si>
  <si>
    <t>Projection</t>
  </si>
  <si>
    <t>Metrics</t>
  </si>
  <si>
    <t>Valuation Status</t>
  </si>
  <si>
    <t>&lt;&lt;valuation</t>
  </si>
  <si>
    <t>PV of FCFF</t>
  </si>
  <si>
    <t>Total EV (Enterprise Value)</t>
  </si>
  <si>
    <t>total</t>
  </si>
  <si>
    <t>PV of TV</t>
  </si>
  <si>
    <t>Cash</t>
  </si>
  <si>
    <t>Ev</t>
  </si>
  <si>
    <t>WACC</t>
  </si>
  <si>
    <t>TG</t>
  </si>
  <si>
    <t xml:space="preserve">
WACC</t>
  </si>
  <si>
    <t>Item</t>
  </si>
  <si>
    <t>FY 2025E</t>
  </si>
  <si>
    <t>FCFF</t>
  </si>
  <si>
    <t>REVENUE &amp; GROWTH</t>
  </si>
  <si>
    <t>PROFITABILITY</t>
  </si>
  <si>
    <t>Base year Revenue(FY2024)</t>
  </si>
  <si>
    <t>Revenue CAGR</t>
  </si>
  <si>
    <t>EBITDA margin FY(24)</t>
  </si>
  <si>
    <t>Terminal Growth Rate</t>
  </si>
  <si>
    <t>EBITDA margin FY(30)</t>
  </si>
  <si>
    <t>Tax Rate</t>
  </si>
  <si>
    <t>CAPITAL EXPENDITURE</t>
  </si>
  <si>
    <t>WORKING CAPITAL</t>
  </si>
  <si>
    <t>Capex as % of Revenue</t>
  </si>
  <si>
    <t>Depreciation % of Revenue</t>
  </si>
  <si>
    <t>WC as % of Revenue</t>
  </si>
  <si>
    <t>Days Sales Outstanding</t>
  </si>
  <si>
    <t>Days Inventory</t>
  </si>
  <si>
    <t>Days Payable Outstanding</t>
  </si>
  <si>
    <t>COGS</t>
  </si>
  <si>
    <t>Inventory</t>
  </si>
  <si>
    <t>Payables</t>
  </si>
  <si>
    <t>WEIGHTED AVERAGE COST OF CAPITAL (WACC)</t>
  </si>
  <si>
    <t>Rirsk Free Rate</t>
  </si>
  <si>
    <t>Beta</t>
  </si>
  <si>
    <t>Market-Risk Premium</t>
  </si>
  <si>
    <t>Cost of Equity</t>
  </si>
  <si>
    <t>Cost of Debt</t>
  </si>
  <si>
    <t>Equity Weight</t>
  </si>
  <si>
    <t>Debt Weight</t>
  </si>
  <si>
    <t>Average debt</t>
  </si>
  <si>
    <t>opening debt</t>
  </si>
  <si>
    <t>closing debt</t>
  </si>
  <si>
    <r>
      <t>Impact:</t>
    </r>
    <r>
      <rPr>
        <sz val="10"/>
        <color rgb="FF000000"/>
        <rFont val="Calibri"/>
        <family val="2"/>
      </rPr>
      <t xml:space="preserve"> Stock is trading at a </t>
    </r>
    <r>
      <rPr>
        <b/>
        <sz val="10"/>
        <color rgb="FF000000"/>
        <rFont val="Calibri"/>
        <family val="2"/>
      </rPr>
      <t>small premium</t>
    </r>
    <r>
      <rPr>
        <sz val="10"/>
        <color rgb="FF000000"/>
        <rFont val="Calibri"/>
        <family val="2"/>
      </rPr>
      <t xml:space="preserve"> (~2.7%), 
meaning it is </t>
    </r>
    <r>
      <rPr>
        <b/>
        <sz val="10"/>
        <color rgb="FF000000"/>
        <rFont val="Calibri"/>
        <family val="2"/>
      </rPr>
      <t>slightly overvalued.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</si>
</sst>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₹&quot;\ #,##0;[Red]&quot;₹&quot;\ \-#,##0"/>
    <numFmt numFmtId="8" formatCode="&quot;₹&quot;\ #,##0.00;[Red]&quot;₹&quot;\ \-#,##0.00"/>
    <numFmt numFmtId="43" formatCode="_ * #,##0.00_ ;_ * \-#,##0.00_ ;_ * &quot;-&quot;??_ ;_ @_ "/>
    <numFmt numFmtId="164" formatCode="0.0%"/>
    <numFmt numFmtId="165" formatCode="0\A"/>
    <numFmt numFmtId="166" formatCode="0\E"/>
    <numFmt numFmtId="167" formatCode="&quot;₹&quot;###,##0&quot; Cr&quot;"/>
  </numFmts>
  <fonts count="30" x14ac:knownFonts="1">
    <font>
      <sz val="10"/>
      <color rgb="FF000000"/>
      <name val="Corbel"/>
      <scheme val="minor"/>
    </font>
    <font>
      <sz val="10"/>
      <color rgb="FF000000"/>
      <name val="Corbel"/>
      <family val="2"/>
      <scheme val="minor"/>
    </font>
    <font>
      <b/>
      <sz val="16"/>
      <color rgb="FFFFC000"/>
      <name val="Calibri"/>
      <family val="2"/>
    </font>
    <font>
      <sz val="10"/>
      <color rgb="FF000000"/>
      <name val="Calibri"/>
      <family val="2"/>
    </font>
    <font>
      <b/>
      <sz val="16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3.5"/>
      <color rgb="FF000000"/>
      <name val="Calibri"/>
      <family val="2"/>
    </font>
    <font>
      <b/>
      <sz val="10"/>
      <color rgb="FF000000"/>
      <name val="Calibri"/>
      <family val="2"/>
    </font>
    <font>
      <b/>
      <sz val="18"/>
      <color rgb="FF000000"/>
      <name val="Calibri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4" tint="-0.249977111117893"/>
      <name val="Calibri"/>
      <family val="2"/>
    </font>
    <font>
      <sz val="10"/>
      <color theme="4"/>
      <name val="Calibri"/>
      <family val="2"/>
    </font>
    <font>
      <b/>
      <i/>
      <sz val="11"/>
      <color theme="1"/>
      <name val="Calibri"/>
      <family val="2"/>
    </font>
    <font>
      <b/>
      <i/>
      <sz val="10"/>
      <color theme="1"/>
      <name val="Calibri"/>
      <family val="2"/>
    </font>
    <font>
      <b/>
      <sz val="10"/>
      <color theme="4"/>
      <name val="Calibri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sz val="28"/>
      <color rgb="FFFFC000"/>
      <name val="Calibri"/>
      <family val="2"/>
    </font>
    <font>
      <sz val="10"/>
      <color rgb="FF000000"/>
      <name val="Corbel"/>
      <family val="2"/>
      <scheme val="minor"/>
    </font>
    <font>
      <sz val="10"/>
      <color rgb="FF1F4E78"/>
      <name val="Calibri"/>
      <family val="2"/>
    </font>
    <font>
      <b/>
      <sz val="20"/>
      <color theme="0"/>
      <name val="Calibri"/>
      <family val="2"/>
    </font>
    <font>
      <b/>
      <sz val="16"/>
      <color theme="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rgb="FFFFFF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0070C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26" fillId="0" borderId="0" applyFont="0" applyFill="0" applyBorder="0" applyAlignment="0" applyProtection="0"/>
  </cellStyleXfs>
  <cellXfs count="158">
    <xf numFmtId="0" fontId="0" fillId="0" borderId="0" xfId="0"/>
    <xf numFmtId="0" fontId="3" fillId="0" borderId="0" xfId="0" applyFont="1"/>
    <xf numFmtId="0" fontId="5" fillId="0" borderId="0" xfId="0" applyFont="1" applyAlignment="1">
      <alignment vertical="center"/>
    </xf>
    <xf numFmtId="0" fontId="7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6" fontId="5" fillId="0" borderId="0" xfId="0" applyNumberFormat="1" applyFont="1" applyAlignment="1">
      <alignment vertical="center" wrapText="1"/>
    </xf>
    <xf numFmtId="10" fontId="6" fillId="0" borderId="0" xfId="0" applyNumberFormat="1" applyFont="1" applyAlignment="1">
      <alignment vertical="center" wrapText="1"/>
    </xf>
    <xf numFmtId="3" fontId="5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2"/>
    </xf>
    <xf numFmtId="0" fontId="8" fillId="0" borderId="8" xfId="0" applyFont="1" applyBorder="1" applyAlignment="1">
      <alignment vertical="center"/>
    </xf>
    <xf numFmtId="0" fontId="3" fillId="0" borderId="7" xfId="0" applyFont="1" applyBorder="1"/>
    <xf numFmtId="0" fontId="3" fillId="0" borderId="11" xfId="0" applyFont="1" applyBorder="1"/>
    <xf numFmtId="0" fontId="3" fillId="0" borderId="9" xfId="0" applyFont="1" applyBorder="1" applyAlignment="1">
      <alignment horizontal="left" vertical="center" indent="1"/>
    </xf>
    <xf numFmtId="0" fontId="3" fillId="0" borderId="13" xfId="0" applyFont="1" applyBorder="1"/>
    <xf numFmtId="0" fontId="9" fillId="0" borderId="9" xfId="0" applyFont="1" applyBorder="1" applyAlignment="1">
      <alignment horizontal="left" vertical="center" indent="1"/>
    </xf>
    <xf numFmtId="0" fontId="9" fillId="0" borderId="0" xfId="0" applyFont="1"/>
    <xf numFmtId="0" fontId="10" fillId="0" borderId="0" xfId="0" applyFont="1"/>
    <xf numFmtId="3" fontId="13" fillId="0" borderId="0" xfId="0" applyNumberFormat="1" applyFont="1"/>
    <xf numFmtId="164" fontId="3" fillId="0" borderId="15" xfId="1" applyNumberFormat="1" applyFont="1" applyBorder="1"/>
    <xf numFmtId="3" fontId="3" fillId="0" borderId="15" xfId="0" applyNumberFormat="1" applyFont="1" applyBorder="1"/>
    <xf numFmtId="3" fontId="3" fillId="0" borderId="0" xfId="0" applyNumberFormat="1" applyFont="1"/>
    <xf numFmtId="0" fontId="3" fillId="11" borderId="0" xfId="0" applyFont="1" applyFill="1"/>
    <xf numFmtId="164" fontId="3" fillId="11" borderId="0" xfId="1" applyNumberFormat="1" applyFont="1" applyFill="1" applyBorder="1"/>
    <xf numFmtId="164" fontId="3" fillId="0" borderId="0" xfId="1" applyNumberFormat="1" applyFont="1"/>
    <xf numFmtId="0" fontId="11" fillId="10" borderId="15" xfId="0" applyFont="1" applyFill="1" applyBorder="1" applyAlignment="1">
      <alignment horizontal="center"/>
    </xf>
    <xf numFmtId="0" fontId="12" fillId="11" borderId="15" xfId="0" applyFont="1" applyFill="1" applyBorder="1" applyAlignment="1">
      <alignment horizontal="center"/>
    </xf>
    <xf numFmtId="165" fontId="3" fillId="0" borderId="15" xfId="0" applyNumberFormat="1" applyFont="1" applyBorder="1"/>
    <xf numFmtId="166" fontId="3" fillId="0" borderId="15" xfId="0" applyNumberFormat="1" applyFont="1" applyBorder="1"/>
    <xf numFmtId="9" fontId="3" fillId="0" borderId="0" xfId="1" applyFont="1"/>
    <xf numFmtId="0" fontId="14" fillId="0" borderId="0" xfId="0" applyFont="1"/>
    <xf numFmtId="0" fontId="15" fillId="2" borderId="1" xfId="0" applyFont="1" applyFill="1" applyBorder="1"/>
    <xf numFmtId="0" fontId="15" fillId="3" borderId="1" xfId="0" applyFont="1" applyFill="1" applyBorder="1"/>
    <xf numFmtId="0" fontId="15" fillId="6" borderId="1" xfId="0" applyFont="1" applyFill="1" applyBorder="1"/>
    <xf numFmtId="0" fontId="9" fillId="7" borderId="0" xfId="0" applyFont="1" applyFill="1" applyAlignment="1">
      <alignment horizontal="right"/>
    </xf>
    <xf numFmtId="0" fontId="14" fillId="0" borderId="2" xfId="0" applyFont="1" applyBorder="1"/>
    <xf numFmtId="0" fontId="16" fillId="0" borderId="0" xfId="0" applyFont="1"/>
    <xf numFmtId="0" fontId="17" fillId="0" borderId="0" xfId="0" applyFont="1"/>
    <xf numFmtId="1" fontId="3" fillId="0" borderId="0" xfId="0" applyNumberFormat="1" applyFont="1"/>
    <xf numFmtId="3" fontId="13" fillId="4" borderId="0" xfId="0" applyNumberFormat="1" applyFont="1" applyFill="1"/>
    <xf numFmtId="0" fontId="17" fillId="0" borderId="2" xfId="0" applyFont="1" applyBorder="1"/>
    <xf numFmtId="0" fontId="14" fillId="0" borderId="3" xfId="0" applyFont="1" applyBorder="1"/>
    <xf numFmtId="3" fontId="12" fillId="0" borderId="4" xfId="0" applyNumberFormat="1" applyFont="1" applyBorder="1"/>
    <xf numFmtId="3" fontId="12" fillId="0" borderId="0" xfId="0" applyNumberFormat="1" applyFont="1"/>
    <xf numFmtId="3" fontId="18" fillId="4" borderId="0" xfId="0" applyNumberFormat="1" applyFont="1" applyFill="1"/>
    <xf numFmtId="10" fontId="3" fillId="4" borderId="0" xfId="1" applyNumberFormat="1" applyFont="1" applyFill="1"/>
    <xf numFmtId="10" fontId="18" fillId="4" borderId="0" xfId="1" applyNumberFormat="1" applyFont="1" applyFill="1"/>
    <xf numFmtId="0" fontId="3" fillId="4" borderId="0" xfId="0" applyFont="1" applyFill="1"/>
    <xf numFmtId="0" fontId="18" fillId="0" borderId="0" xfId="0" applyFont="1"/>
    <xf numFmtId="0" fontId="12" fillId="0" borderId="0" xfId="0" applyFont="1"/>
    <xf numFmtId="3" fontId="18" fillId="0" borderId="0" xfId="0" applyNumberFormat="1" applyFont="1"/>
    <xf numFmtId="0" fontId="17" fillId="0" borderId="0" xfId="0" applyFont="1" applyAlignment="1">
      <alignment horizontal="left"/>
    </xf>
    <xf numFmtId="0" fontId="3" fillId="5" borderId="0" xfId="0" applyFont="1" applyFill="1"/>
    <xf numFmtId="3" fontId="19" fillId="0" borderId="0" xfId="0" applyNumberFormat="1" applyFont="1"/>
    <xf numFmtId="1" fontId="13" fillId="0" borderId="0" xfId="0" applyNumberFormat="1" applyFont="1"/>
    <xf numFmtId="0" fontId="20" fillId="0" borderId="0" xfId="0" applyFont="1"/>
    <xf numFmtId="3" fontId="21" fillId="0" borderId="0" xfId="0" applyNumberFormat="1" applyFont="1"/>
    <xf numFmtId="0" fontId="21" fillId="0" borderId="0" xfId="0" applyFont="1"/>
    <xf numFmtId="0" fontId="13" fillId="0" borderId="0" xfId="0" applyFont="1"/>
    <xf numFmtId="0" fontId="15" fillId="0" borderId="0" xfId="0" applyFont="1"/>
    <xf numFmtId="3" fontId="12" fillId="9" borderId="0" xfId="0" applyNumberFormat="1" applyFont="1" applyFill="1"/>
    <xf numFmtId="10" fontId="13" fillId="0" borderId="0" xfId="0" applyNumberFormat="1" applyFont="1"/>
    <xf numFmtId="10" fontId="13" fillId="3" borderId="0" xfId="0" applyNumberFormat="1" applyFont="1" applyFill="1"/>
    <xf numFmtId="10" fontId="18" fillId="3" borderId="0" xfId="0" applyNumberFormat="1" applyFont="1" applyFill="1"/>
    <xf numFmtId="10" fontId="3" fillId="0" borderId="0" xfId="0" applyNumberFormat="1" applyFont="1"/>
    <xf numFmtId="0" fontId="13" fillId="5" borderId="0" xfId="0" applyFont="1" applyFill="1"/>
    <xf numFmtId="10" fontId="13" fillId="4" borderId="0" xfId="0" applyNumberFormat="1" applyFont="1" applyFill="1"/>
    <xf numFmtId="10" fontId="18" fillId="4" borderId="0" xfId="0" applyNumberFormat="1" applyFont="1" applyFill="1"/>
    <xf numFmtId="3" fontId="9" fillId="0" borderId="0" xfId="0" applyNumberFormat="1" applyFont="1"/>
    <xf numFmtId="1" fontId="9" fillId="0" borderId="0" xfId="0" applyNumberFormat="1" applyFont="1"/>
    <xf numFmtId="164" fontId="3" fillId="4" borderId="0" xfId="0" applyNumberFormat="1" applyFont="1" applyFill="1"/>
    <xf numFmtId="164" fontId="18" fillId="4" borderId="0" xfId="0" applyNumberFormat="1" applyFont="1" applyFill="1"/>
    <xf numFmtId="164" fontId="3" fillId="4" borderId="0" xfId="1" applyNumberFormat="1" applyFont="1" applyFill="1"/>
    <xf numFmtId="164" fontId="18" fillId="4" borderId="0" xfId="1" applyNumberFormat="1" applyFont="1" applyFill="1"/>
    <xf numFmtId="2" fontId="9" fillId="0" borderId="0" xfId="0" applyNumberFormat="1" applyFont="1"/>
    <xf numFmtId="4" fontId="12" fillId="0" borderId="0" xfId="0" applyNumberFormat="1" applyFont="1"/>
    <xf numFmtId="3" fontId="9" fillId="4" borderId="0" xfId="0" applyNumberFormat="1" applyFont="1" applyFill="1"/>
    <xf numFmtId="3" fontId="22" fillId="4" borderId="0" xfId="0" applyNumberFormat="1" applyFont="1" applyFill="1"/>
    <xf numFmtId="164" fontId="19" fillId="4" borderId="0" xfId="1" applyNumberFormat="1" applyFont="1" applyFill="1"/>
    <xf numFmtId="0" fontId="15" fillId="0" borderId="5" xfId="0" applyFont="1" applyBorder="1" applyAlignment="1">
      <alignment wrapText="1"/>
    </xf>
    <xf numFmtId="0" fontId="16" fillId="0" borderId="5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9" fillId="8" borderId="0" xfId="0" applyFont="1" applyFill="1"/>
    <xf numFmtId="3" fontId="12" fillId="8" borderId="0" xfId="0" applyNumberFormat="1" applyFont="1" applyFill="1"/>
    <xf numFmtId="0" fontId="3" fillId="8" borderId="0" xfId="0" applyFont="1" applyFill="1"/>
    <xf numFmtId="3" fontId="13" fillId="8" borderId="0" xfId="0" applyNumberFormat="1" applyFont="1" applyFill="1"/>
    <xf numFmtId="164" fontId="3" fillId="0" borderId="0" xfId="0" applyNumberFormat="1" applyFont="1"/>
    <xf numFmtId="164" fontId="3" fillId="0" borderId="0" xfId="1" applyNumberFormat="1" applyFont="1" applyFill="1" applyBorder="1"/>
    <xf numFmtId="3" fontId="3" fillId="4" borderId="0" xfId="0" applyNumberFormat="1" applyFont="1" applyFill="1"/>
    <xf numFmtId="3" fontId="13" fillId="0" borderId="0" xfId="0" applyNumberFormat="1" applyFont="1" applyAlignment="1">
      <alignment horizontal="center"/>
    </xf>
    <xf numFmtId="8" fontId="3" fillId="0" borderId="0" xfId="0" applyNumberFormat="1" applyFont="1"/>
    <xf numFmtId="0" fontId="14" fillId="0" borderId="6" xfId="0" applyFont="1" applyBorder="1"/>
    <xf numFmtId="0" fontId="3" fillId="0" borderId="15" xfId="0" applyFont="1" applyBorder="1"/>
    <xf numFmtId="0" fontId="13" fillId="11" borderId="15" xfId="0" applyFont="1" applyFill="1" applyBorder="1" applyAlignment="1">
      <alignment horizontal="left"/>
    </xf>
    <xf numFmtId="0" fontId="23" fillId="12" borderId="15" xfId="0" applyFont="1" applyFill="1" applyBorder="1"/>
    <xf numFmtId="0" fontId="17" fillId="0" borderId="15" xfId="0" applyFont="1" applyBorder="1"/>
    <xf numFmtId="0" fontId="11" fillId="12" borderId="15" xfId="0" applyFont="1" applyFill="1" applyBorder="1"/>
    <xf numFmtId="10" fontId="3" fillId="0" borderId="15" xfId="0" applyNumberFormat="1" applyFont="1" applyBorder="1"/>
    <xf numFmtId="10" fontId="17" fillId="0" borderId="15" xfId="0" applyNumberFormat="1" applyFont="1" applyBorder="1"/>
    <xf numFmtId="164" fontId="24" fillId="11" borderId="15" xfId="1" applyNumberFormat="1" applyFont="1" applyFill="1" applyBorder="1"/>
    <xf numFmtId="164" fontId="24" fillId="11" borderId="15" xfId="0" applyNumberFormat="1" applyFont="1" applyFill="1" applyBorder="1"/>
    <xf numFmtId="3" fontId="24" fillId="11" borderId="15" xfId="0" applyNumberFormat="1" applyFont="1" applyFill="1" applyBorder="1"/>
    <xf numFmtId="0" fontId="14" fillId="0" borderId="15" xfId="0" applyFont="1" applyBorder="1"/>
    <xf numFmtId="3" fontId="9" fillId="0" borderId="15" xfId="0" applyNumberFormat="1" applyFont="1" applyBorder="1"/>
    <xf numFmtId="0" fontId="9" fillId="0" borderId="15" xfId="0" applyFont="1" applyBorder="1"/>
    <xf numFmtId="0" fontId="9" fillId="11" borderId="15" xfId="0" applyFont="1" applyFill="1" applyBorder="1"/>
    <xf numFmtId="164" fontId="9" fillId="11" borderId="15" xfId="1" applyNumberFormat="1" applyFont="1" applyFill="1" applyBorder="1"/>
    <xf numFmtId="164" fontId="3" fillId="0" borderId="0" xfId="1" applyNumberFormat="1" applyFont="1" applyBorder="1"/>
    <xf numFmtId="1" fontId="3" fillId="0" borderId="0" xfId="1" applyNumberFormat="1" applyFont="1" applyBorder="1"/>
    <xf numFmtId="3" fontId="3" fillId="0" borderId="15" xfId="2" applyNumberFormat="1" applyFont="1" applyBorder="1"/>
    <xf numFmtId="3" fontId="13" fillId="0" borderId="15" xfId="0" applyNumberFormat="1" applyFont="1" applyBorder="1"/>
    <xf numFmtId="3" fontId="3" fillId="0" borderId="15" xfId="1" applyNumberFormat="1" applyFont="1" applyBorder="1"/>
    <xf numFmtId="3" fontId="3" fillId="0" borderId="15" xfId="0" applyNumberFormat="1" applyFont="1" applyBorder="1" applyAlignment="1">
      <alignment horizontal="right"/>
    </xf>
    <xf numFmtId="164" fontId="27" fillId="11" borderId="15" xfId="0" applyNumberFormat="1" applyFont="1" applyFill="1" applyBorder="1"/>
    <xf numFmtId="164" fontId="27" fillId="0" borderId="15" xfId="0" applyNumberFormat="1" applyFont="1" applyBorder="1"/>
    <xf numFmtId="0" fontId="3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3" fillId="0" borderId="0" xfId="0" applyFont="1" applyAlignment="1">
      <alignment horizontal="right" vertical="center" wrapText="1"/>
    </xf>
    <xf numFmtId="0" fontId="16" fillId="0" borderId="15" xfId="0" applyFont="1" applyBorder="1" applyAlignment="1">
      <alignment wrapText="1"/>
    </xf>
    <xf numFmtId="1" fontId="3" fillId="0" borderId="15" xfId="0" applyNumberFormat="1" applyFont="1" applyBorder="1"/>
    <xf numFmtId="3" fontId="3" fillId="11" borderId="0" xfId="0" applyNumberFormat="1" applyFont="1" applyFill="1" applyAlignment="1">
      <alignment horizontal="right"/>
    </xf>
    <xf numFmtId="164" fontId="3" fillId="11" borderId="0" xfId="1" applyNumberFormat="1" applyFont="1" applyFill="1"/>
    <xf numFmtId="10" fontId="3" fillId="11" borderId="0" xfId="0" applyNumberFormat="1" applyFont="1" applyFill="1"/>
    <xf numFmtId="164" fontId="3" fillId="11" borderId="0" xfId="0" applyNumberFormat="1" applyFont="1" applyFill="1"/>
    <xf numFmtId="1" fontId="3" fillId="11" borderId="0" xfId="0" applyNumberFormat="1" applyFont="1" applyFill="1"/>
    <xf numFmtId="0" fontId="23" fillId="12" borderId="0" xfId="0" applyFont="1" applyFill="1"/>
    <xf numFmtId="3" fontId="3" fillId="11" borderId="0" xfId="0" applyNumberFormat="1" applyFont="1" applyFill="1"/>
    <xf numFmtId="0" fontId="29" fillId="13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167" fontId="25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9" fillId="0" borderId="10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/>
    <xf numFmtId="0" fontId="9" fillId="0" borderId="0" xfId="0" applyFont="1" applyBorder="1"/>
    <xf numFmtId="0" fontId="6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 wrapText="1"/>
    </xf>
    <xf numFmtId="10" fontId="9" fillId="0" borderId="0" xfId="0" applyNumberFormat="1" applyFont="1" applyBorder="1" applyAlignment="1">
      <alignment horizontal="right" vertical="center" wrapText="1"/>
    </xf>
    <xf numFmtId="0" fontId="9" fillId="0" borderId="0" xfId="0" applyFont="1" applyBorder="1" applyAlignment="1">
      <alignment horizontal="right" vertical="center" wrapText="1"/>
    </xf>
    <xf numFmtId="0" fontId="9" fillId="0" borderId="0" xfId="0" applyFont="1" applyBorder="1" applyAlignment="1">
      <alignment horizontal="left" vertical="center" wrapText="1"/>
    </xf>
    <xf numFmtId="3" fontId="3" fillId="0" borderId="0" xfId="0" applyNumberFormat="1" applyFont="1" applyBorder="1" applyAlignment="1">
      <alignment horizontal="right" vertical="center" wrapText="1"/>
    </xf>
    <xf numFmtId="3" fontId="9" fillId="0" borderId="0" xfId="0" applyNumberFormat="1" applyFont="1" applyBorder="1" applyAlignment="1">
      <alignment horizontal="right" vertical="center" wrapText="1"/>
    </xf>
    <xf numFmtId="10" fontId="9" fillId="0" borderId="0" xfId="0" applyNumberFormat="1" applyFont="1" applyBorder="1" applyAlignment="1">
      <alignment horizontal="left" vertical="center" wrapText="1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1F4E78"/>
      <color rgb="FF4472C4"/>
      <color rgb="FFFF6B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/>
              <a:t>Revenue &amp; EBITDA Analysis - Historical &amp; Projected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Excutesummary!$B$18</c:f>
              <c:strCache>
                <c:ptCount val="1"/>
                <c:pt idx="0">
                  <c:v>Year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6000"/>
                    <a:lumMod val="102000"/>
                  </a:schemeClr>
                </a:gs>
                <a:gs pos="100000">
                  <a:schemeClr val="accent1">
                    <a:shade val="88000"/>
                    <a:lumMod val="94000"/>
                  </a:schemeClr>
                </a:gs>
              </a:gsLst>
              <a:path path="circle">
                <a:fillToRect l="50000" t="100000" r="100000" b="50000"/>
              </a:path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64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l">
                <a:rot lat="0" lon="0" rev="1200000"/>
              </a:lightRig>
            </a:scene3d>
            <a:sp3d>
              <a:bevelT w="25400" h="12700"/>
            </a:sp3d>
          </c:spPr>
          <c:invertIfNegative val="0"/>
          <c:dLbls>
            <c:delete val="1"/>
          </c:dLbls>
          <c:cat>
            <c:strRef>
              <c:f>Excutesummary!$B$19:$B$29</c:f>
              <c:strCache>
                <c:ptCount val="11"/>
                <c:pt idx="0">
                  <c:v>2020A</c:v>
                </c:pt>
                <c:pt idx="1">
                  <c:v>2021A</c:v>
                </c:pt>
                <c:pt idx="2">
                  <c:v>2022A</c:v>
                </c:pt>
                <c:pt idx="3">
                  <c:v>2023A</c:v>
                </c:pt>
                <c:pt idx="4">
                  <c:v>2024A</c:v>
                </c:pt>
                <c:pt idx="5">
                  <c:v>2025E</c:v>
                </c:pt>
                <c:pt idx="6">
                  <c:v>2026E</c:v>
                </c:pt>
                <c:pt idx="7">
                  <c:v>2027E</c:v>
                </c:pt>
                <c:pt idx="8">
                  <c:v>2028E</c:v>
                </c:pt>
                <c:pt idx="9">
                  <c:v>2029E</c:v>
                </c:pt>
                <c:pt idx="10">
                  <c:v>2030E</c:v>
                </c:pt>
              </c:strCache>
            </c:strRef>
          </c:cat>
          <c:val>
            <c:numRef>
              <c:f>Excutesummary!$B$19:$B$29</c:f>
              <c:numCache>
                <c:formatCode>0\A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0\E">
                  <c:v>0</c:v>
                </c:pt>
                <c:pt idx="6" formatCode="0\E">
                  <c:v>0</c:v>
                </c:pt>
                <c:pt idx="7" formatCode="0\E">
                  <c:v>0</c:v>
                </c:pt>
                <c:pt idx="8" formatCode="0\E">
                  <c:v>0</c:v>
                </c:pt>
                <c:pt idx="9" formatCode="0\E">
                  <c:v>0</c:v>
                </c:pt>
                <c:pt idx="10" formatCode="0\E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C2-4188-9D67-40E9E0004301}"/>
            </c:ext>
          </c:extLst>
        </c:ser>
        <c:ser>
          <c:idx val="1"/>
          <c:order val="1"/>
          <c:tx>
            <c:strRef>
              <c:f>Excutesummary!$C$18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96000"/>
                    <a:lumMod val="102000"/>
                  </a:schemeClr>
                </a:gs>
                <a:gs pos="100000">
                  <a:schemeClr val="accent2">
                    <a:shade val="88000"/>
                    <a:lumMod val="94000"/>
                  </a:schemeClr>
                </a:gs>
              </a:gsLst>
              <a:path path="circle">
                <a:fillToRect l="50000" t="100000" r="100000" b="50000"/>
              </a:path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64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l">
                <a:rot lat="0" lon="0" rev="1200000"/>
              </a:lightRig>
            </a:scene3d>
            <a:sp3d>
              <a:bevelT w="25400" h="127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Excutesummary!$B$19:$B$29</c:f>
              <c:strCache>
                <c:ptCount val="11"/>
                <c:pt idx="0">
                  <c:v>2020A</c:v>
                </c:pt>
                <c:pt idx="1">
                  <c:v>2021A</c:v>
                </c:pt>
                <c:pt idx="2">
                  <c:v>2022A</c:v>
                </c:pt>
                <c:pt idx="3">
                  <c:v>2023A</c:v>
                </c:pt>
                <c:pt idx="4">
                  <c:v>2024A</c:v>
                </c:pt>
                <c:pt idx="5">
                  <c:v>2025E</c:v>
                </c:pt>
                <c:pt idx="6">
                  <c:v>2026E</c:v>
                </c:pt>
                <c:pt idx="7">
                  <c:v>2027E</c:v>
                </c:pt>
                <c:pt idx="8">
                  <c:v>2028E</c:v>
                </c:pt>
                <c:pt idx="9">
                  <c:v>2029E</c:v>
                </c:pt>
                <c:pt idx="10">
                  <c:v>2030E</c:v>
                </c:pt>
              </c:strCache>
            </c:strRef>
          </c:cat>
          <c:val>
            <c:numRef>
              <c:f>Excutesummary!$C$19:$C$29</c:f>
              <c:numCache>
                <c:formatCode>#,##0</c:formatCode>
                <c:ptCount val="11"/>
                <c:pt idx="0">
                  <c:v>28836.09</c:v>
                </c:pt>
                <c:pt idx="1">
                  <c:v>30800.62</c:v>
                </c:pt>
                <c:pt idx="2">
                  <c:v>29245.47</c:v>
                </c:pt>
                <c:pt idx="3">
                  <c:v>33805.65</c:v>
                </c:pt>
                <c:pt idx="4">
                  <c:v>37455.72</c:v>
                </c:pt>
                <c:pt idx="5">
                  <c:v>50446.579199592103</c:v>
                </c:pt>
                <c:pt idx="6">
                  <c:v>61484.010235229442</c:v>
                </c:pt>
                <c:pt idx="7">
                  <c:v>74983.272443503447</c:v>
                </c:pt>
                <c:pt idx="8">
                  <c:v>91500.751190008552</c:v>
                </c:pt>
                <c:pt idx="9">
                  <c:v>111719.68873243847</c:v>
                </c:pt>
                <c:pt idx="10">
                  <c:v>136479.27500607108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C2-4188-9D67-40E9E0004301}"/>
            </c:ext>
          </c:extLst>
        </c:ser>
        <c:ser>
          <c:idx val="2"/>
          <c:order val="2"/>
          <c:tx>
            <c:strRef>
              <c:f>Excutesummary!$D$18</c:f>
              <c:strCache>
                <c:ptCount val="1"/>
                <c:pt idx="0">
                  <c:v>EBIDTA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  <a:effectLst>
              <a:outerShdw blurRad="38100" dist="25400" dir="5400000" rotWithShape="0">
                <a:srgbClr val="000000">
                  <a:alpha val="64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l">
                <a:rot lat="0" lon="0" rev="1200000"/>
              </a:lightRig>
            </a:scene3d>
            <a:sp3d>
              <a:bevelT w="25400" h="12700"/>
            </a:sp3d>
          </c:spPr>
          <c:invertIfNegative val="0"/>
          <c:dLbls>
            <c:delete val="1"/>
          </c:dLbls>
          <c:cat>
            <c:strRef>
              <c:f>Excutesummary!$B$19:$B$29</c:f>
              <c:strCache>
                <c:ptCount val="11"/>
                <c:pt idx="0">
                  <c:v>2020A</c:v>
                </c:pt>
                <c:pt idx="1">
                  <c:v>2021A</c:v>
                </c:pt>
                <c:pt idx="2">
                  <c:v>2022A</c:v>
                </c:pt>
                <c:pt idx="3">
                  <c:v>2023A</c:v>
                </c:pt>
                <c:pt idx="4">
                  <c:v>2024A</c:v>
                </c:pt>
                <c:pt idx="5">
                  <c:v>2025E</c:v>
                </c:pt>
                <c:pt idx="6">
                  <c:v>2026E</c:v>
                </c:pt>
                <c:pt idx="7">
                  <c:v>2027E</c:v>
                </c:pt>
                <c:pt idx="8">
                  <c:v>2028E</c:v>
                </c:pt>
                <c:pt idx="9">
                  <c:v>2029E</c:v>
                </c:pt>
                <c:pt idx="10">
                  <c:v>2030E</c:v>
                </c:pt>
              </c:strCache>
            </c:strRef>
          </c:cat>
          <c:val>
            <c:numRef>
              <c:f>Excutesummary!$D$19:$D$29</c:f>
              <c:numCache>
                <c:formatCode>#,##0</c:formatCode>
                <c:ptCount val="11"/>
                <c:pt idx="0">
                  <c:v>4736.2999999999993</c:v>
                </c:pt>
                <c:pt idx="1">
                  <c:v>4599.0899999999929</c:v>
                </c:pt>
                <c:pt idx="2">
                  <c:v>3925.6800000000039</c:v>
                </c:pt>
                <c:pt idx="3">
                  <c:v>4551.3900000000067</c:v>
                </c:pt>
                <c:pt idx="4">
                  <c:v>6148.260000000002</c:v>
                </c:pt>
                <c:pt idx="5">
                  <c:v>6734.3136543738365</c:v>
                </c:pt>
                <c:pt idx="6">
                  <c:v>8084.0901722026465</c:v>
                </c:pt>
                <c:pt idx="7">
                  <c:v>9734.9260485864652</c:v>
                </c:pt>
                <c:pt idx="8">
                  <c:v>11754.862107419714</c:v>
                </c:pt>
                <c:pt idx="9">
                  <c:v>14227.452606250736</c:v>
                </c:pt>
                <c:pt idx="10">
                  <c:v>17255.322772361047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C2-4188-9D67-40E9E000430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84554464"/>
        <c:axId val="1384555424"/>
      </c:barChart>
      <c:lineChart>
        <c:grouping val="standard"/>
        <c:varyColors val="0"/>
        <c:ser>
          <c:idx val="3"/>
          <c:order val="3"/>
          <c:tx>
            <c:strRef>
              <c:f>Excutesummary!$E$18</c:f>
              <c:strCache>
                <c:ptCount val="1"/>
                <c:pt idx="0">
                  <c:v>Margin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38100" dist="25400" dir="5400000" rotWithShape="0">
                <a:srgbClr val="000000">
                  <a:alpha val="64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tint val="96000"/>
                      <a:lumMod val="102000"/>
                    </a:schemeClr>
                  </a:gs>
                  <a:gs pos="100000">
                    <a:schemeClr val="accent4">
                      <a:shade val="88000"/>
                      <a:lumMod val="94000"/>
                    </a:schemeClr>
                  </a:gs>
                </a:gsLst>
                <a:path path="circle">
                  <a:fillToRect l="50000" t="100000" r="100000" b="50000"/>
                </a:path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38100" dist="25400" dir="5400000" rotWithShape="0">
                  <a:srgbClr val="000000">
                    <a:alpha val="64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>
                  <a:rot lat="0" lon="0" rev="1200000"/>
                </a:lightRig>
              </a:scene3d>
              <a:sp3d>
                <a:bevelT w="25400" h="12700"/>
              </a:sp3d>
            </c:spPr>
          </c:marker>
          <c:dLbls>
            <c:delete val="1"/>
          </c:dLbls>
          <c:val>
            <c:numRef>
              <c:f>Excutesummary!$E$19:$E$29</c:f>
              <c:numCache>
                <c:formatCode>0.0%</c:formatCode>
                <c:ptCount val="11"/>
                <c:pt idx="0">
                  <c:v>0.16424903653720041</c:v>
                </c:pt>
                <c:pt idx="1">
                  <c:v>0.14931809814218003</c:v>
                </c:pt>
                <c:pt idx="2">
                  <c:v>0.13423207081301836</c:v>
                </c:pt>
                <c:pt idx="3">
                  <c:v>0.13463400348758289</c:v>
                </c:pt>
                <c:pt idx="4">
                  <c:v>0.16414742527977041</c:v>
                </c:pt>
                <c:pt idx="5">
                  <c:v>0.13349396056627538</c:v>
                </c:pt>
                <c:pt idx="6">
                  <c:v>0.13148280571280271</c:v>
                </c:pt>
                <c:pt idx="7">
                  <c:v>0.12982797004386942</c:v>
                </c:pt>
                <c:pt idx="8">
                  <c:v>0.12846738365032451</c:v>
                </c:pt>
                <c:pt idx="9">
                  <c:v>0.12734955465481629</c:v>
                </c:pt>
                <c:pt idx="10">
                  <c:v>0.12643181737002537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C2-4188-9D67-40E9E000430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79596560"/>
        <c:axId val="1301374688"/>
      </c:lineChart>
      <c:catAx>
        <c:axId val="138455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384555424"/>
        <c:crosses val="autoZero"/>
        <c:auto val="0"/>
        <c:lblAlgn val="ctr"/>
        <c:lblOffset val="100"/>
        <c:noMultiLvlLbl val="0"/>
      </c:catAx>
      <c:valAx>
        <c:axId val="13845554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Revenue Amount(Rs.Crores)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\A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384554464"/>
        <c:crosses val="autoZero"/>
        <c:crossBetween val="between"/>
      </c:valAx>
      <c:valAx>
        <c:axId val="130137468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/>
                  <a:t> EBITDA Margin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179596560"/>
        <c:crosses val="max"/>
        <c:crossBetween val="between"/>
      </c:valAx>
      <c:catAx>
        <c:axId val="1179596560"/>
        <c:scaling>
          <c:orientation val="minMax"/>
        </c:scaling>
        <c:delete val="1"/>
        <c:axPos val="t"/>
        <c:majorTickMark val="none"/>
        <c:minorTickMark val="none"/>
        <c:tickLblPos val="nextTo"/>
        <c:crossAx val="1301374688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IN" sz="18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CAGR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3700980392156861E-2"/>
          <c:y val="0.18050228310502284"/>
          <c:w val="0.93259803921568629"/>
          <c:h val="0.52375903354546438"/>
        </c:manualLayout>
      </c:layout>
      <c:lineChart>
        <c:grouping val="standard"/>
        <c:varyColors val="0"/>
        <c:ser>
          <c:idx val="0"/>
          <c:order val="0"/>
          <c:tx>
            <c:strRef>
              <c:f>Excutesummary!$H$15</c:f>
              <c:strCache>
                <c:ptCount val="1"/>
                <c:pt idx="0">
                  <c:v>CAGR</c:v>
                </c:pt>
              </c:strCache>
            </c:strRef>
          </c:tx>
          <c:spPr>
            <a:ln w="349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Excutesummary!$G$16:$G$18</c:f>
              <c:strCache>
                <c:ptCount val="3"/>
                <c:pt idx="0">
                  <c:v>Revenue </c:v>
                </c:pt>
                <c:pt idx="1">
                  <c:v>PAT</c:v>
                </c:pt>
                <c:pt idx="2">
                  <c:v>Cash Flow</c:v>
                </c:pt>
              </c:strCache>
            </c:strRef>
          </c:cat>
          <c:val>
            <c:numRef>
              <c:f>Excutesummary!$H$16:$H$18</c:f>
              <c:numCache>
                <c:formatCode>0.0%</c:formatCode>
                <c:ptCount val="3"/>
                <c:pt idx="0">
                  <c:v>0.1804270803344401</c:v>
                </c:pt>
                <c:pt idx="1">
                  <c:v>0.18180171140611145</c:v>
                </c:pt>
                <c:pt idx="2">
                  <c:v>0.26325461890106694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0C-4D08-9E81-F35086CD9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8169263"/>
        <c:axId val="1948170223"/>
      </c:lineChart>
      <c:catAx>
        <c:axId val="19481692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8170223"/>
        <c:crosses val="autoZero"/>
        <c:auto val="1"/>
        <c:lblAlgn val="ctr"/>
        <c:lblOffset val="100"/>
        <c:noMultiLvlLbl val="0"/>
      </c:catAx>
      <c:valAx>
        <c:axId val="1948170223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948169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Cost Drivers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Excutesummary!$C$32</c:f>
              <c:strCache>
                <c:ptCount val="1"/>
                <c:pt idx="0">
                  <c:v>Historical Average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Excutesummary!$B$33:$B$37</c:f>
              <c:strCache>
                <c:ptCount val="5"/>
                <c:pt idx="0">
                  <c:v>Raw Materials</c:v>
                </c:pt>
                <c:pt idx="1">
                  <c:v>Purchases</c:v>
                </c:pt>
                <c:pt idx="2">
                  <c:v>Changes in Stock in Trade</c:v>
                </c:pt>
                <c:pt idx="3">
                  <c:v>Employee Cost</c:v>
                </c:pt>
                <c:pt idx="4">
                  <c:v>Other Expenses</c:v>
                </c:pt>
              </c:strCache>
            </c:strRef>
          </c:cat>
          <c:val>
            <c:numRef>
              <c:f>Excutesummary!$C$33:$C$37</c:f>
              <c:numCache>
                <c:formatCode>0.00%</c:formatCode>
                <c:ptCount val="5"/>
                <c:pt idx="0">
                  <c:v>0.67574783452617604</c:v>
                </c:pt>
                <c:pt idx="1">
                  <c:v>1.8767121175539711E-3</c:v>
                </c:pt>
                <c:pt idx="2">
                  <c:v>3.6150947292108341E-4</c:v>
                </c:pt>
                <c:pt idx="3">
                  <c:v>5.6329003610153326E-2</c:v>
                </c:pt>
                <c:pt idx="4">
                  <c:v>0.11003834208369727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C5-4C0E-BBBE-E46253932B7E}"/>
            </c:ext>
          </c:extLst>
        </c:ser>
        <c:ser>
          <c:idx val="1"/>
          <c:order val="1"/>
          <c:tx>
            <c:strRef>
              <c:f>Excutesummary!$D$32</c:f>
              <c:strCache>
                <c:ptCount val="1"/>
                <c:pt idx="0">
                  <c:v>Projection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Excutesummary!$B$33:$B$37</c:f>
              <c:strCache>
                <c:ptCount val="5"/>
                <c:pt idx="0">
                  <c:v>Raw Materials</c:v>
                </c:pt>
                <c:pt idx="1">
                  <c:v>Purchases</c:v>
                </c:pt>
                <c:pt idx="2">
                  <c:v>Changes in Stock in Trade</c:v>
                </c:pt>
                <c:pt idx="3">
                  <c:v>Employee Cost</c:v>
                </c:pt>
                <c:pt idx="4">
                  <c:v>Other Expenses</c:v>
                </c:pt>
              </c:strCache>
            </c:strRef>
          </c:cat>
          <c:val>
            <c:numRef>
              <c:f>Excutesummary!$D$33:$D$37</c:f>
              <c:numCache>
                <c:formatCode>0.00%</c:formatCode>
                <c:ptCount val="5"/>
                <c:pt idx="0">
                  <c:v>0.68500000000000005</c:v>
                </c:pt>
                <c:pt idx="1">
                  <c:v>1.2927264513938058E-2</c:v>
                </c:pt>
                <c:pt idx="2">
                  <c:v>4.7819131497138486E-3</c:v>
                </c:pt>
                <c:pt idx="3">
                  <c:v>6.5000000000000002E-2</c:v>
                </c:pt>
                <c:pt idx="4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C5-4C0E-BBBE-E46253932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780992015"/>
        <c:axId val="1780990575"/>
      </c:barChart>
      <c:catAx>
        <c:axId val="1780992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780990575"/>
        <c:crosses val="autoZero"/>
        <c:auto val="0"/>
        <c:lblAlgn val="ctr"/>
        <c:lblOffset val="100"/>
        <c:noMultiLvlLbl val="0"/>
      </c:catAx>
      <c:valAx>
        <c:axId val="1780990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IN" sz="1100" b="1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% of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9920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Enterprise Value Sensitivity to Terminal Growth Rate</a:t>
            </a:r>
            <a:endParaRPr lang="en-IN" sz="18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Excutesummary!$G$25</c:f>
              <c:strCache>
                <c:ptCount val="1"/>
                <c:pt idx="0">
                  <c:v>
WACC</c:v>
                </c:pt>
              </c:strCache>
            </c:strRef>
          </c:tx>
          <c:spPr>
            <a:ln w="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Excutesummary!$H$24:$L$24</c:f>
              <c:numCache>
                <c:formatCode>0.0%</c:formatCode>
                <c:ptCount val="5"/>
                <c:pt idx="0">
                  <c:v>1.4999999999999999E-2</c:v>
                </c:pt>
                <c:pt idx="1">
                  <c:v>0.02</c:v>
                </c:pt>
                <c:pt idx="2">
                  <c:v>2.5000000000000001E-2</c:v>
                </c:pt>
                <c:pt idx="3">
                  <c:v>3.0000000000000002E-2</c:v>
                </c:pt>
                <c:pt idx="4">
                  <c:v>3.5000000000000003E-2</c:v>
                </c:pt>
              </c:numCache>
            </c:numRef>
          </c:cat>
          <c:val>
            <c:numRef>
              <c:f>Excutesummary!$H$25:$L$25</c:f>
              <c:numCache>
                <c:formatCode>0.0%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0E-4887-8AFA-E1F5D5F479EF}"/>
            </c:ext>
          </c:extLst>
        </c:ser>
        <c:ser>
          <c:idx val="1"/>
          <c:order val="1"/>
          <c:tx>
            <c:strRef>
              <c:f>Excutesummary!$G$26</c:f>
              <c:strCache>
                <c:ptCount val="1"/>
                <c:pt idx="0">
                  <c:v>10.5%</c:v>
                </c:pt>
              </c:strCache>
            </c:strRef>
          </c:tx>
          <c:spPr>
            <a:ln w="3810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6B35"/>
              </a:solidFill>
              <a:ln w="9525">
                <a:solidFill>
                  <a:srgbClr val="FF6B35"/>
                </a:solidFill>
              </a:ln>
              <a:effectLst/>
            </c:spPr>
          </c:marker>
          <c:cat>
            <c:numRef>
              <c:f>Excutesummary!$H$24:$L$24</c:f>
              <c:numCache>
                <c:formatCode>0.0%</c:formatCode>
                <c:ptCount val="5"/>
                <c:pt idx="0">
                  <c:v>1.4999999999999999E-2</c:v>
                </c:pt>
                <c:pt idx="1">
                  <c:v>0.02</c:v>
                </c:pt>
                <c:pt idx="2">
                  <c:v>2.5000000000000001E-2</c:v>
                </c:pt>
                <c:pt idx="3">
                  <c:v>3.0000000000000002E-2</c:v>
                </c:pt>
                <c:pt idx="4">
                  <c:v>3.5000000000000003E-2</c:v>
                </c:pt>
              </c:numCache>
            </c:numRef>
          </c:cat>
          <c:val>
            <c:numRef>
              <c:f>Excutesummary!$H$26:$L$26</c:f>
              <c:numCache>
                <c:formatCode>#,##0</c:formatCode>
                <c:ptCount val="5"/>
                <c:pt idx="0">
                  <c:v>125552.73275152223</c:v>
                </c:pt>
                <c:pt idx="1">
                  <c:v>129663.36524571579</c:v>
                </c:pt>
                <c:pt idx="2">
                  <c:v>134287.82680168352</c:v>
                </c:pt>
                <c:pt idx="3">
                  <c:v>139528.88323178029</c:v>
                </c:pt>
                <c:pt idx="4">
                  <c:v>145518.66200903375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0E-4887-8AFA-E1F5D5F479EF}"/>
            </c:ext>
          </c:extLst>
        </c:ser>
        <c:ser>
          <c:idx val="2"/>
          <c:order val="2"/>
          <c:tx>
            <c:strRef>
              <c:f>Excutesummary!$G$27</c:f>
              <c:strCache>
                <c:ptCount val="1"/>
                <c:pt idx="0">
                  <c:v>11.0%</c:v>
                </c:pt>
              </c:strCache>
            </c:strRef>
          </c:tx>
          <c:spPr>
            <a:ln w="3810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6B35"/>
              </a:solidFill>
              <a:ln w="12700">
                <a:solidFill>
                  <a:srgbClr val="FF6B35"/>
                </a:solidFill>
              </a:ln>
              <a:effectLst/>
            </c:spPr>
          </c:marker>
          <c:cat>
            <c:numRef>
              <c:f>Excutesummary!$H$24:$L$24</c:f>
              <c:numCache>
                <c:formatCode>0.0%</c:formatCode>
                <c:ptCount val="5"/>
                <c:pt idx="0">
                  <c:v>1.4999999999999999E-2</c:v>
                </c:pt>
                <c:pt idx="1">
                  <c:v>0.02</c:v>
                </c:pt>
                <c:pt idx="2">
                  <c:v>2.5000000000000001E-2</c:v>
                </c:pt>
                <c:pt idx="3">
                  <c:v>3.0000000000000002E-2</c:v>
                </c:pt>
                <c:pt idx="4">
                  <c:v>3.5000000000000003E-2</c:v>
                </c:pt>
              </c:numCache>
            </c:numRef>
          </c:cat>
          <c:val>
            <c:numRef>
              <c:f>Excutesummary!$H$27:$L$27</c:f>
              <c:numCache>
                <c:formatCode>#,##0</c:formatCode>
                <c:ptCount val="5"/>
                <c:pt idx="0">
                  <c:v>117121.43753113838</c:v>
                </c:pt>
                <c:pt idx="1">
                  <c:v>120621.18141293859</c:v>
                </c:pt>
                <c:pt idx="2">
                  <c:v>124532.65986906824</c:v>
                </c:pt>
                <c:pt idx="3">
                  <c:v>128933.07313221411</c:v>
                </c:pt>
                <c:pt idx="4">
                  <c:v>133920.2081637794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0E-4887-8AFA-E1F5D5F479EF}"/>
            </c:ext>
          </c:extLst>
        </c:ser>
        <c:ser>
          <c:idx val="3"/>
          <c:order val="3"/>
          <c:tx>
            <c:strRef>
              <c:f>Excutesummary!$G$28</c:f>
              <c:strCache>
                <c:ptCount val="1"/>
                <c:pt idx="0">
                  <c:v>11.5%</c:v>
                </c:pt>
              </c:strCache>
            </c:strRef>
          </c:tx>
          <c:spPr>
            <a:ln w="3810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6B35"/>
              </a:solidFill>
              <a:ln w="12700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Ref>
              <c:f>Excutesummary!$H$24:$L$24</c:f>
              <c:numCache>
                <c:formatCode>0.0%</c:formatCode>
                <c:ptCount val="5"/>
                <c:pt idx="0">
                  <c:v>1.4999999999999999E-2</c:v>
                </c:pt>
                <c:pt idx="1">
                  <c:v>0.02</c:v>
                </c:pt>
                <c:pt idx="2">
                  <c:v>2.5000000000000001E-2</c:v>
                </c:pt>
                <c:pt idx="3">
                  <c:v>3.0000000000000002E-2</c:v>
                </c:pt>
                <c:pt idx="4">
                  <c:v>3.5000000000000003E-2</c:v>
                </c:pt>
              </c:numCache>
            </c:numRef>
          </c:cat>
          <c:val>
            <c:numRef>
              <c:f>Excutesummary!$H$28:$L$28</c:f>
              <c:numCache>
                <c:formatCode>#,##0</c:formatCode>
                <c:ptCount val="5"/>
                <c:pt idx="0">
                  <c:v>109601.29647303103</c:v>
                </c:pt>
                <c:pt idx="1">
                  <c:v>112599.1333514467</c:v>
                </c:pt>
                <c:pt idx="2">
                  <c:v>115930.06321635301</c:v>
                </c:pt>
                <c:pt idx="3">
                  <c:v>119652.867183013</c:v>
                </c:pt>
                <c:pt idx="4">
                  <c:v>123841.02164550549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0E-4887-8AFA-E1F5D5F479EF}"/>
            </c:ext>
          </c:extLst>
        </c:ser>
        <c:ser>
          <c:idx val="4"/>
          <c:order val="4"/>
          <c:tx>
            <c:strRef>
              <c:f>Excutesummary!$G$29</c:f>
              <c:strCache>
                <c:ptCount val="1"/>
                <c:pt idx="0">
                  <c:v>12.0%</c:v>
                </c:pt>
              </c:strCache>
            </c:strRef>
          </c:tx>
          <c:spPr>
            <a:ln w="3810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numRef>
              <c:f>Excutesummary!$H$24:$L$24</c:f>
              <c:numCache>
                <c:formatCode>0.0%</c:formatCode>
                <c:ptCount val="5"/>
                <c:pt idx="0">
                  <c:v>1.4999999999999999E-2</c:v>
                </c:pt>
                <c:pt idx="1">
                  <c:v>0.02</c:v>
                </c:pt>
                <c:pt idx="2">
                  <c:v>2.5000000000000001E-2</c:v>
                </c:pt>
                <c:pt idx="3">
                  <c:v>3.0000000000000002E-2</c:v>
                </c:pt>
                <c:pt idx="4">
                  <c:v>3.5000000000000003E-2</c:v>
                </c:pt>
              </c:numCache>
            </c:numRef>
          </c:cat>
          <c:val>
            <c:numRef>
              <c:f>Excutesummary!$H$29:$L$29</c:f>
              <c:numCache>
                <c:formatCode>#,##0</c:formatCode>
                <c:ptCount val="5"/>
                <c:pt idx="0">
                  <c:v>102859.43396558177</c:v>
                </c:pt>
                <c:pt idx="1">
                  <c:v>105441.50149283865</c:v>
                </c:pt>
                <c:pt idx="2">
                  <c:v>108295.36560191207</c:v>
                </c:pt>
                <c:pt idx="3">
                  <c:v>111466.32572310475</c:v>
                </c:pt>
                <c:pt idx="4">
                  <c:v>115010.33997620242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0E-4887-8AFA-E1F5D5F479EF}"/>
            </c:ext>
          </c:extLst>
        </c:ser>
        <c:ser>
          <c:idx val="5"/>
          <c:order val="5"/>
          <c:tx>
            <c:strRef>
              <c:f>Excutesummary!$G$30</c:f>
              <c:strCache>
                <c:ptCount val="1"/>
                <c:pt idx="0">
                  <c:v>12.5%</c:v>
                </c:pt>
              </c:strCache>
            </c:strRef>
          </c:tx>
          <c:spPr>
            <a:ln w="3810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cat>
            <c:numRef>
              <c:f>Excutesummary!$H$24:$L$24</c:f>
              <c:numCache>
                <c:formatCode>0.0%</c:formatCode>
                <c:ptCount val="5"/>
                <c:pt idx="0">
                  <c:v>1.4999999999999999E-2</c:v>
                </c:pt>
                <c:pt idx="1">
                  <c:v>0.02</c:v>
                </c:pt>
                <c:pt idx="2">
                  <c:v>2.5000000000000001E-2</c:v>
                </c:pt>
                <c:pt idx="3">
                  <c:v>3.0000000000000002E-2</c:v>
                </c:pt>
                <c:pt idx="4">
                  <c:v>3.5000000000000003E-2</c:v>
                </c:pt>
              </c:numCache>
            </c:numRef>
          </c:cat>
          <c:val>
            <c:numRef>
              <c:f>Excutesummary!$H$30:$L$30</c:f>
              <c:numCache>
                <c:formatCode>#,##0</c:formatCode>
                <c:ptCount val="5"/>
                <c:pt idx="0">
                  <c:v>96787.258347427458</c:v>
                </c:pt>
                <c:pt idx="1">
                  <c:v>99022.350394336085</c:v>
                </c:pt>
                <c:pt idx="2">
                  <c:v>101480.95164593554</c:v>
                </c:pt>
                <c:pt idx="3">
                  <c:v>104198.35302928231</c:v>
                </c:pt>
                <c:pt idx="4">
                  <c:v>107217.68789966762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C0E-4887-8AFA-E1F5D5F479EF}"/>
            </c:ext>
          </c:extLst>
        </c:ser>
        <c:ser>
          <c:idx val="6"/>
          <c:order val="6"/>
          <c:tx>
            <c:strRef>
              <c:f>Excutesummary!$G$31</c:f>
              <c:strCache>
                <c:ptCount val="1"/>
                <c:pt idx="0">
                  <c:v>13.0%</c:v>
                </c:pt>
              </c:strCache>
            </c:strRef>
          </c:tx>
          <c:spPr>
            <a:ln w="3810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cat>
            <c:numRef>
              <c:f>Excutesummary!$H$24:$L$24</c:f>
              <c:numCache>
                <c:formatCode>0.0%</c:formatCode>
                <c:ptCount val="5"/>
                <c:pt idx="0">
                  <c:v>1.4999999999999999E-2</c:v>
                </c:pt>
                <c:pt idx="1">
                  <c:v>0.02</c:v>
                </c:pt>
                <c:pt idx="2">
                  <c:v>2.5000000000000001E-2</c:v>
                </c:pt>
                <c:pt idx="3">
                  <c:v>3.0000000000000002E-2</c:v>
                </c:pt>
                <c:pt idx="4">
                  <c:v>3.5000000000000003E-2</c:v>
                </c:pt>
              </c:numCache>
            </c:numRef>
          </c:cat>
          <c:val>
            <c:numRef>
              <c:f>Excutesummary!$H$31:$L$31</c:f>
              <c:numCache>
                <c:formatCode>#,##0</c:formatCode>
                <c:ptCount val="5"/>
                <c:pt idx="0">
                  <c:v>91295.176354431169</c:v>
                </c:pt>
                <c:pt idx="1">
                  <c:v>93238.753307387742</c:v>
                </c:pt>
                <c:pt idx="2">
                  <c:v>95367.432827292534</c:v>
                </c:pt>
                <c:pt idx="3">
                  <c:v>97708.980299187839</c:v>
                </c:pt>
                <c:pt idx="4">
                  <c:v>100297.00645233525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C0E-4887-8AFA-E1F5D5F47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7024287"/>
        <c:axId val="457017567"/>
      </c:lineChart>
      <c:catAx>
        <c:axId val="457024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IN" sz="1200" b="1" i="0" u="none" strike="noStrike" baseline="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Terminal Growth Rate (%)</a:t>
                </a:r>
                <a:endParaRPr lang="en-IN" sz="1200" b="1"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IN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57017567"/>
        <c:crosses val="autoZero"/>
        <c:auto val="1"/>
        <c:lblAlgn val="ctr"/>
        <c:lblOffset val="100"/>
        <c:noMultiLvlLbl val="0"/>
      </c:catAx>
      <c:valAx>
        <c:axId val="457017567"/>
        <c:scaling>
          <c:orientation val="minMax"/>
          <c:min val="9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IN" sz="1200" b="1" i="0" u="none" strike="noStrike" baseline="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Enterprise Value (₹ Crores)</a:t>
                </a:r>
                <a:endParaRPr lang="en-IN" sz="1200" b="1"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IN"/>
            </a:p>
          </c:txPr>
        </c:title>
        <c:numFmt formatCode="#,##0_ ;\-#,##0\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57024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ln>
                  <a:noFill/>
                </a:ln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18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IN" sz="18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Free Cash Flow to Firm (FCFF) Bridge - FY 2025E</a:t>
            </a:r>
            <a:endParaRPr lang="en-US" sz="18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x:rich>
      </cx:tx>
    </cx:title>
    <cx:plotArea>
      <cx:plotAreaRegion>
        <cx:series layoutId="waterfall" uniqueId="{83975EB9-9436-426B-8BCF-4FDC5B1DCD8D}">
          <cx:spPr>
            <a:ln>
              <a:noFill/>
            </a:ln>
          </cx:spPr>
          <cx:dataPt idx="0">
            <cx:spPr>
              <a:solidFill>
                <a:srgbClr val="00B0F0"/>
              </a:solidFill>
            </cx:spPr>
          </cx:dataPt>
          <cx:dataPt idx="1">
            <cx:spPr>
              <a:solidFill>
                <a:srgbClr val="30ACEC">
                  <a:lumMod val="60000"/>
                  <a:lumOff val="40000"/>
                  <a:alpha val="95000"/>
                </a:srgbClr>
              </a:solidFill>
              <a:ln>
                <a:noFill/>
              </a:ln>
            </cx:spPr>
          </cx:dataPt>
          <cx:dataPt idx="3">
            <cx:spPr>
              <a:solidFill>
                <a:srgbClr val="C00000">
                  <a:alpha val="51000"/>
                </a:srgbClr>
              </a:solidFill>
            </cx:spPr>
          </cx:dataPt>
          <cx:dataPt idx="4">
            <cx:spPr>
              <a:solidFill>
                <a:srgbClr val="C00000">
                  <a:alpha val="51000"/>
                </a:srgbClr>
              </a:solidFill>
              <a:ln>
                <a:noFill/>
              </a:ln>
            </cx:spPr>
          </cx:dataPt>
          <cx:dataPt idx="5">
            <cx:spPr>
              <a:solidFill>
                <a:srgbClr val="92D050"/>
              </a:solidFill>
            </cx:spPr>
          </cx:dataPt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50" b="1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 sz="105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endParaRPr>
              </a:p>
            </cx:txPr>
            <cx:visibility seriesName="0" categoryName="0" value="1"/>
          </cx:dataLabels>
          <cx:dataId val="0"/>
          <cx:layoutPr>
            <cx:subtotals>
              <cx:idx val="0"/>
              <cx:idx val="5"/>
            </cx:subtotals>
          </cx:layoutPr>
        </cx:series>
      </cx:plotAreaRegion>
      <cx:axis id="0">
        <cx:catScaling gapWidth="0.5"/>
        <cx:tickLabels/>
        <cx:spPr>
          <a:ln>
            <a:noFill/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 b="1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 sz="1100" b="1" i="0" u="none" strike="noStrike" baseline="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  <cx:axis id="1" hidden="1">
        <cx:valScaling/>
        <cx:title>
          <cx:tx>
            <cx:txData>
              <cx:v>Amount in Cr.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 b="1"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rPr lang="en-US" sz="11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rPr>
                <a:t>Amount in Cr.</a:t>
              </a:r>
            </a:p>
          </cx:txPr>
        </cx:title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05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 sz="1050" b="1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cx:txPr>
    </cx:legend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327660</xdr:colOff>
      <xdr:row>27</xdr:row>
      <xdr:rowOff>83820</xdr:rowOff>
    </xdr:from>
    <xdr:to>
      <xdr:col>14</xdr:col>
      <xdr:colOff>22860</xdr:colOff>
      <xdr:row>32</xdr:row>
      <xdr:rowOff>160020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210CB188-2F9B-E823-DD6E-47792003A3DC}"/>
            </a:ext>
          </a:extLst>
        </xdr:cNvPr>
        <xdr:cNvCxnSpPr/>
      </xdr:nvCxnSpPr>
      <xdr:spPr>
        <a:xfrm>
          <a:off x="11193780" y="4853940"/>
          <a:ext cx="914400" cy="914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210542</xdr:colOff>
      <xdr:row>7</xdr:row>
      <xdr:rowOff>82985</xdr:rowOff>
    </xdr:from>
    <xdr:to>
      <xdr:col>11</xdr:col>
      <xdr:colOff>477242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74C198-5541-47FC-B9F4-3830420D67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182880</xdr:colOff>
      <xdr:row>1</xdr:row>
      <xdr:rowOff>52192</xdr:rowOff>
    </xdr:from>
    <xdr:to>
      <xdr:col>4</xdr:col>
      <xdr:colOff>427972</xdr:colOff>
      <xdr:row>7</xdr:row>
      <xdr:rowOff>10438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DEFD176D-B360-53F4-2F8E-6F0D111A5BC6}"/>
            </a:ext>
          </a:extLst>
        </xdr:cNvPr>
        <xdr:cNvSpPr/>
      </xdr:nvSpPr>
      <xdr:spPr>
        <a:xfrm>
          <a:off x="182880" y="229644"/>
          <a:ext cx="2666791" cy="1116904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252478</xdr:colOff>
      <xdr:row>1</xdr:row>
      <xdr:rowOff>54175</xdr:rowOff>
    </xdr:from>
    <xdr:to>
      <xdr:col>11</xdr:col>
      <xdr:colOff>575963</xdr:colOff>
      <xdr:row>6</xdr:row>
      <xdr:rowOff>168475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A1991282-C12F-472D-B2A9-4BE673A52CBE}"/>
            </a:ext>
          </a:extLst>
        </xdr:cNvPr>
        <xdr:cNvSpPr/>
      </xdr:nvSpPr>
      <xdr:spPr>
        <a:xfrm>
          <a:off x="4490451" y="231627"/>
          <a:ext cx="2745183" cy="1095506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292275</xdr:colOff>
      <xdr:row>1</xdr:row>
      <xdr:rowOff>67432</xdr:rowOff>
    </xdr:from>
    <xdr:to>
      <xdr:col>15</xdr:col>
      <xdr:colOff>555633</xdr:colOff>
      <xdr:row>6</xdr:row>
      <xdr:rowOff>174112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CC505E77-7C5A-4E83-BF9E-0331F764F79A}"/>
            </a:ext>
          </a:extLst>
        </xdr:cNvPr>
        <xdr:cNvSpPr/>
      </xdr:nvSpPr>
      <xdr:spPr>
        <a:xfrm>
          <a:off x="6951946" y="244884"/>
          <a:ext cx="2685057" cy="1087886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167015</xdr:colOff>
      <xdr:row>1</xdr:row>
      <xdr:rowOff>68100</xdr:rowOff>
    </xdr:from>
    <xdr:to>
      <xdr:col>20</xdr:col>
      <xdr:colOff>183020</xdr:colOff>
      <xdr:row>6</xdr:row>
      <xdr:rowOff>174780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6AF6081D-C1C0-4B84-9A4A-F24DA6A37A28}"/>
            </a:ext>
          </a:extLst>
        </xdr:cNvPr>
        <xdr:cNvSpPr/>
      </xdr:nvSpPr>
      <xdr:spPr>
        <a:xfrm>
          <a:off x="9248385" y="245552"/>
          <a:ext cx="3043128" cy="1087886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95197</xdr:colOff>
      <xdr:row>1</xdr:row>
      <xdr:rowOff>54175</xdr:rowOff>
    </xdr:from>
    <xdr:to>
      <xdr:col>7</xdr:col>
      <xdr:colOff>578702</xdr:colOff>
      <xdr:row>6</xdr:row>
      <xdr:rowOff>153235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8E8BDF06-A832-4AE1-804B-9B2D42FE61F0}"/>
            </a:ext>
          </a:extLst>
        </xdr:cNvPr>
        <xdr:cNvSpPr/>
      </xdr:nvSpPr>
      <xdr:spPr>
        <a:xfrm>
          <a:off x="2516896" y="231627"/>
          <a:ext cx="2299779" cy="1080266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259080</xdr:colOff>
      <xdr:row>1</xdr:row>
      <xdr:rowOff>83820</xdr:rowOff>
    </xdr:from>
    <xdr:to>
      <xdr:col>3</xdr:col>
      <xdr:colOff>480060</xdr:colOff>
      <xdr:row>3</xdr:row>
      <xdr:rowOff>38100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6D7101C-D3DE-4E8B-8F5D-9979F10656AD}"/>
            </a:ext>
          </a:extLst>
        </xdr:cNvPr>
        <xdr:cNvSpPr txBox="1"/>
      </xdr:nvSpPr>
      <xdr:spPr>
        <a:xfrm>
          <a:off x="259080" y="419100"/>
          <a:ext cx="2049780" cy="388620"/>
        </a:xfrm>
        <a:prstGeom prst="rect">
          <a:avLst/>
        </a:prstGeom>
        <a:noFill/>
        <a:ln w="9525" cmpd="sng">
          <a:noFill/>
        </a:ln>
        <a:scene3d>
          <a:camera prst="orthographicFront"/>
          <a:lightRig rig="threePt" dir="t"/>
        </a:scene3d>
        <a:sp3d>
          <a:bevelB/>
        </a:sp3d>
      </xdr:spPr>
      <xdr:style>
        <a:lnRef idx="0">
          <a:scrgbClr r="0" g="0" b="0"/>
        </a:lnRef>
        <a:fillRef idx="1002">
          <a:schemeClr val="dk2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IN" sz="16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Enterprise</a:t>
          </a:r>
          <a:r>
            <a:rPr lang="en-IN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IN" sz="16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Value</a:t>
          </a:r>
        </a:p>
      </xdr:txBody>
    </xdr:sp>
    <xdr:clientData/>
  </xdr:twoCellAnchor>
  <xdr:twoCellAnchor>
    <xdr:from>
      <xdr:col>4</xdr:col>
      <xdr:colOff>396657</xdr:colOff>
      <xdr:row>1</xdr:row>
      <xdr:rowOff>160020</xdr:rowOff>
    </xdr:from>
    <xdr:to>
      <xdr:col>8</xdr:col>
      <xdr:colOff>31314</xdr:colOff>
      <xdr:row>3</xdr:row>
      <xdr:rowOff>76200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96E9C0A-F730-4CE5-8F6D-DFA587B3DA8B}"/>
            </a:ext>
          </a:extLst>
        </xdr:cNvPr>
        <xdr:cNvSpPr txBox="1"/>
      </xdr:nvSpPr>
      <xdr:spPr>
        <a:xfrm>
          <a:off x="2818356" y="337472"/>
          <a:ext cx="2056355" cy="365029"/>
        </a:xfrm>
        <a:prstGeom prst="rect">
          <a:avLst/>
        </a:prstGeom>
        <a:noFill/>
        <a:ln w="9525" cmpd="sng">
          <a:noFill/>
        </a:ln>
        <a:scene3d>
          <a:camera prst="orthographicFront"/>
          <a:lightRig rig="threePt" dir="t"/>
        </a:scene3d>
        <a:sp3d>
          <a:bevelB/>
        </a:sp3d>
      </xdr:spPr>
      <xdr:style>
        <a:lnRef idx="0">
          <a:scrgbClr r="0" g="0" b="0"/>
        </a:lnRef>
        <a:fillRef idx="1002">
          <a:schemeClr val="dk2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IN" sz="16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Equity</a:t>
          </a:r>
          <a:r>
            <a:rPr lang="en-IN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IN" sz="16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Value</a:t>
          </a:r>
        </a:p>
      </xdr:txBody>
    </xdr:sp>
    <xdr:clientData/>
  </xdr:twoCellAnchor>
  <xdr:twoCellAnchor>
    <xdr:from>
      <xdr:col>8</xdr:col>
      <xdr:colOff>41754</xdr:colOff>
      <xdr:row>1</xdr:row>
      <xdr:rowOff>114300</xdr:rowOff>
    </xdr:from>
    <xdr:to>
      <xdr:col>11</xdr:col>
      <xdr:colOff>459288</xdr:colOff>
      <xdr:row>3</xdr:row>
      <xdr:rowOff>76200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1DCC350-A13B-188E-6B21-0EA6215256AC}"/>
            </a:ext>
          </a:extLst>
        </xdr:cNvPr>
        <xdr:cNvSpPr txBox="1"/>
      </xdr:nvSpPr>
      <xdr:spPr>
        <a:xfrm>
          <a:off x="4885151" y="291752"/>
          <a:ext cx="2233808" cy="410749"/>
        </a:xfrm>
        <a:prstGeom prst="rect">
          <a:avLst/>
        </a:prstGeom>
        <a:noFill/>
        <a:ln w="9525" cmpd="sng">
          <a:noFill/>
        </a:ln>
        <a:scene3d>
          <a:camera prst="orthographicFront"/>
          <a:lightRig rig="threePt" dir="t"/>
        </a:scene3d>
        <a:sp3d>
          <a:bevelB/>
        </a:sp3d>
      </xdr:spPr>
      <xdr:style>
        <a:lnRef idx="0">
          <a:scrgbClr r="0" g="0" b="0"/>
        </a:lnRef>
        <a:fillRef idx="1002">
          <a:schemeClr val="dk2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IN" sz="16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Implied</a:t>
          </a:r>
          <a:r>
            <a:rPr lang="en-IN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IN" sz="16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Share</a:t>
          </a:r>
          <a:r>
            <a:rPr lang="en-IN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IN" sz="16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Price</a:t>
          </a:r>
        </a:p>
      </xdr:txBody>
    </xdr:sp>
    <xdr:clientData/>
  </xdr:twoCellAnchor>
  <xdr:twoCellAnchor>
    <xdr:from>
      <xdr:col>12</xdr:col>
      <xdr:colOff>20877</xdr:colOff>
      <xdr:row>1</xdr:row>
      <xdr:rowOff>99060</xdr:rowOff>
    </xdr:from>
    <xdr:to>
      <xdr:col>15</xdr:col>
      <xdr:colOff>281835</xdr:colOff>
      <xdr:row>3</xdr:row>
      <xdr:rowOff>76200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1412878-F455-EC8A-84BE-C65C2522110F}"/>
            </a:ext>
          </a:extLst>
        </xdr:cNvPr>
        <xdr:cNvSpPr txBox="1"/>
      </xdr:nvSpPr>
      <xdr:spPr>
        <a:xfrm>
          <a:off x="7285973" y="276512"/>
          <a:ext cx="2077232" cy="425989"/>
        </a:xfrm>
        <a:prstGeom prst="rect">
          <a:avLst/>
        </a:prstGeom>
        <a:noFill/>
        <a:ln w="9525" cmpd="sng">
          <a:noFill/>
        </a:ln>
        <a:scene3d>
          <a:camera prst="orthographicFront"/>
          <a:lightRig rig="threePt" dir="t"/>
        </a:scene3d>
        <a:sp3d>
          <a:bevelB/>
        </a:sp3d>
      </xdr:spPr>
      <xdr:style>
        <a:lnRef idx="0">
          <a:scrgbClr r="0" g="0" b="0"/>
        </a:lnRef>
        <a:fillRef idx="1002">
          <a:schemeClr val="dk2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IN" sz="16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Market</a:t>
          </a:r>
          <a:r>
            <a:rPr lang="en-IN" sz="1600" b="1">
              <a:solidFill>
                <a:srgbClr val="FF6B35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IN" sz="16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Price</a:t>
          </a:r>
        </a:p>
      </xdr:txBody>
    </xdr:sp>
    <xdr:clientData/>
  </xdr:twoCellAnchor>
  <xdr:twoCellAnchor>
    <xdr:from>
      <xdr:col>0</xdr:col>
      <xdr:colOff>563880</xdr:colOff>
      <xdr:row>3</xdr:row>
      <xdr:rowOff>74532</xdr:rowOff>
    </xdr:from>
    <xdr:to>
      <xdr:col>3</xdr:col>
      <xdr:colOff>160020</xdr:colOff>
      <xdr:row>5</xdr:row>
      <xdr:rowOff>82152</xdr:rowOff>
    </xdr:to>
    <xdr:sp macro="" textlink="Model!B231">
      <xdr:nvSpPr>
        <xdr:cNvPr id="2" name="TextBox 1">
          <a:extLst>
            <a:ext uri="{FF2B5EF4-FFF2-40B4-BE49-F238E27FC236}">
              <a16:creationId xmlns:a16="http://schemas.microsoft.com/office/drawing/2014/main" id="{0A0669E3-3EF3-3A0C-A64D-2D892A9DA546}"/>
            </a:ext>
          </a:extLst>
        </xdr:cNvPr>
        <xdr:cNvSpPr txBox="1"/>
      </xdr:nvSpPr>
      <xdr:spPr>
        <a:xfrm>
          <a:off x="563880" y="700833"/>
          <a:ext cx="1412414" cy="362524"/>
        </a:xfrm>
        <a:prstGeom prst="rect">
          <a:avLst/>
        </a:prstGeom>
        <a:noFill/>
        <a:ln w="9525" cmpd="sng">
          <a:noFill/>
        </a:ln>
        <a:scene3d>
          <a:camera prst="orthographicFront"/>
          <a:lightRig rig="threePt" dir="t"/>
        </a:scene3d>
        <a:sp3d>
          <a:bevelB/>
        </a:sp3d>
      </xdr:spPr>
      <xdr:style>
        <a:lnRef idx="0">
          <a:scrgbClr r="0" g="0" b="0"/>
        </a:lnRef>
        <a:fillRef idx="1002">
          <a:schemeClr val="dk2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fld id="{CECAE10F-623B-4D56-AF88-B68258C1B07B}" type="TxLink">
            <a:rPr lang="en-US" sz="1600" b="1" i="0" u="none" strike="noStrike">
              <a:solidFill>
                <a:srgbClr val="FFC000"/>
              </a:solidFill>
              <a:latin typeface="Calibri"/>
              <a:ea typeface="Calibri"/>
              <a:cs typeface="Calibri"/>
            </a:rPr>
            <a:t>1,05,442</a:t>
          </a:fld>
          <a:endParaRPr lang="en-IN" sz="1600" b="1">
            <a:solidFill>
              <a:srgbClr val="FFC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4</xdr:col>
      <xdr:colOff>521918</xdr:colOff>
      <xdr:row>3</xdr:row>
      <xdr:rowOff>104384</xdr:rowOff>
    </xdr:from>
    <xdr:to>
      <xdr:col>7</xdr:col>
      <xdr:colOff>575258</xdr:colOff>
      <xdr:row>5</xdr:row>
      <xdr:rowOff>104385</xdr:rowOff>
    </xdr:to>
    <xdr:sp macro="" textlink="Model!B231">
      <xdr:nvSpPr>
        <xdr:cNvPr id="9" name="TextBox 8">
          <a:extLst>
            <a:ext uri="{FF2B5EF4-FFF2-40B4-BE49-F238E27FC236}">
              <a16:creationId xmlns:a16="http://schemas.microsoft.com/office/drawing/2014/main" id="{394D149F-7792-E1AE-57BD-A34844657620}"/>
            </a:ext>
          </a:extLst>
        </xdr:cNvPr>
        <xdr:cNvSpPr txBox="1"/>
      </xdr:nvSpPr>
      <xdr:spPr>
        <a:xfrm>
          <a:off x="2943617" y="730685"/>
          <a:ext cx="1869614" cy="354905"/>
        </a:xfrm>
        <a:prstGeom prst="rect">
          <a:avLst/>
        </a:prstGeom>
        <a:noFill/>
        <a:ln w="9525" cmpd="sng">
          <a:noFill/>
        </a:ln>
        <a:scene3d>
          <a:camera prst="orthographicFront"/>
          <a:lightRig rig="threePt" dir="t"/>
        </a:scene3d>
        <a:sp3d>
          <a:bevelB/>
        </a:sp3d>
      </xdr:spPr>
      <xdr:style>
        <a:lnRef idx="0">
          <a:scrgbClr r="0" g="0" b="0"/>
        </a:lnRef>
        <a:fillRef idx="1002">
          <a:schemeClr val="dk2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fld id="{1C2E9010-84F3-4F6C-8BB5-9A6606D8987B}" type="TxLink">
            <a:rPr lang="en-US" sz="1600" b="1" i="0" u="none" strike="noStrike">
              <a:solidFill>
                <a:srgbClr val="FFC000"/>
              </a:solidFill>
              <a:latin typeface="Calibri"/>
              <a:ea typeface="Calibri"/>
              <a:cs typeface="Calibri"/>
            </a:rPr>
            <a:pPr algn="ctr"/>
            <a:t>1,05,442</a:t>
          </a:fld>
          <a:endParaRPr lang="en-IN" sz="1600" b="1">
            <a:solidFill>
              <a:srgbClr val="FFC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8</xdr:col>
      <xdr:colOff>247239</xdr:colOff>
      <xdr:row>3</xdr:row>
      <xdr:rowOff>104384</xdr:rowOff>
    </xdr:from>
    <xdr:to>
      <xdr:col>11</xdr:col>
      <xdr:colOff>83507</xdr:colOff>
      <xdr:row>5</xdr:row>
      <xdr:rowOff>95158</xdr:rowOff>
    </xdr:to>
    <xdr:sp macro="" textlink="Model!B233">
      <xdr:nvSpPr>
        <xdr:cNvPr id="10" name="TextBox 9">
          <a:extLst>
            <a:ext uri="{FF2B5EF4-FFF2-40B4-BE49-F238E27FC236}">
              <a16:creationId xmlns:a16="http://schemas.microsoft.com/office/drawing/2014/main" id="{84516294-8F0A-1AF0-E68A-B0A121C6220B}"/>
            </a:ext>
          </a:extLst>
        </xdr:cNvPr>
        <xdr:cNvSpPr txBox="1"/>
      </xdr:nvSpPr>
      <xdr:spPr>
        <a:xfrm>
          <a:off x="5090636" y="730685"/>
          <a:ext cx="1652542" cy="345678"/>
        </a:xfrm>
        <a:prstGeom prst="rect">
          <a:avLst/>
        </a:prstGeom>
        <a:noFill/>
        <a:ln w="9525" cmpd="sng">
          <a:noFill/>
        </a:ln>
        <a:scene3d>
          <a:camera prst="orthographicFront"/>
          <a:lightRig rig="threePt" dir="t"/>
        </a:scene3d>
        <a:sp3d>
          <a:bevelB/>
        </a:sp3d>
      </xdr:spPr>
      <xdr:style>
        <a:lnRef idx="0">
          <a:scrgbClr r="0" g="0" b="0"/>
        </a:lnRef>
        <a:fillRef idx="1002">
          <a:schemeClr val="dk2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fld id="{7B3AAEDA-2BD6-468E-9B31-EA8F3374B7BD}" type="TxLink">
            <a:rPr lang="en-US" sz="1600" b="1" i="0" u="none" strike="noStrike">
              <a:ln>
                <a:noFill/>
              </a:ln>
              <a:solidFill>
                <a:srgbClr val="FFC000"/>
              </a:solidFill>
              <a:latin typeface="Calibri"/>
              <a:ea typeface="Calibri"/>
              <a:cs typeface="Calibri"/>
            </a:rPr>
            <a:pPr algn="ctr"/>
            <a:t>5,272</a:t>
          </a:fld>
          <a:endParaRPr lang="en-IN" sz="1600" b="1">
            <a:ln>
              <a:noFill/>
            </a:ln>
            <a:solidFill>
              <a:srgbClr val="FFC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12</xdr:col>
      <xdr:colOff>276513</xdr:colOff>
      <xdr:row>3</xdr:row>
      <xdr:rowOff>79336</xdr:rowOff>
    </xdr:from>
    <xdr:to>
      <xdr:col>15</xdr:col>
      <xdr:colOff>177453</xdr:colOff>
      <xdr:row>5</xdr:row>
      <xdr:rowOff>104389</xdr:rowOff>
    </xdr:to>
    <xdr:sp macro="" textlink="Model!B234">
      <xdr:nvSpPr>
        <xdr:cNvPr id="11" name="TextBox 10">
          <a:extLst>
            <a:ext uri="{FF2B5EF4-FFF2-40B4-BE49-F238E27FC236}">
              <a16:creationId xmlns:a16="http://schemas.microsoft.com/office/drawing/2014/main" id="{E90A4D36-7D1F-481E-CA49-79024314DA79}"/>
            </a:ext>
          </a:extLst>
        </xdr:cNvPr>
        <xdr:cNvSpPr txBox="1"/>
      </xdr:nvSpPr>
      <xdr:spPr>
        <a:xfrm>
          <a:off x="7541609" y="705637"/>
          <a:ext cx="1717214" cy="379957"/>
        </a:xfrm>
        <a:prstGeom prst="rect">
          <a:avLst/>
        </a:prstGeom>
        <a:noFill/>
        <a:ln w="9525" cmpd="sng">
          <a:noFill/>
        </a:ln>
        <a:scene3d>
          <a:camera prst="orthographicFront"/>
          <a:lightRig rig="threePt" dir="t"/>
        </a:scene3d>
        <a:sp3d>
          <a:bevelB/>
        </a:sp3d>
      </xdr:spPr>
      <xdr:style>
        <a:lnRef idx="0">
          <a:scrgbClr r="0" g="0" b="0"/>
        </a:lnRef>
        <a:fillRef idx="1002">
          <a:schemeClr val="dk2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fld id="{A49BE165-CD9C-4691-853B-D96569DE80CC}" type="TxLink">
            <a:rPr lang="en-US" sz="1600" b="1" i="0" u="none" strike="noStrike">
              <a:solidFill>
                <a:srgbClr val="FFC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pPr algn="ctr"/>
            <a:t>5,418</a:t>
          </a:fld>
          <a:endParaRPr lang="en-IN" sz="1600" b="1">
            <a:solidFill>
              <a:srgbClr val="FFC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15</xdr:col>
      <xdr:colOff>521917</xdr:colOff>
      <xdr:row>3</xdr:row>
      <xdr:rowOff>107671</xdr:rowOff>
    </xdr:from>
    <xdr:to>
      <xdr:col>18</xdr:col>
      <xdr:colOff>72605</xdr:colOff>
      <xdr:row>5</xdr:row>
      <xdr:rowOff>167014</xdr:rowOff>
    </xdr:to>
    <xdr:sp macro="" textlink="Excutesummary!B15">
      <xdr:nvSpPr>
        <xdr:cNvPr id="13" name="TextBox 12">
          <a:extLst>
            <a:ext uri="{FF2B5EF4-FFF2-40B4-BE49-F238E27FC236}">
              <a16:creationId xmlns:a16="http://schemas.microsoft.com/office/drawing/2014/main" id="{1C558E14-53B8-F04B-C1FA-AD51C347A4E1}"/>
            </a:ext>
          </a:extLst>
        </xdr:cNvPr>
        <xdr:cNvSpPr txBox="1"/>
      </xdr:nvSpPr>
      <xdr:spPr>
        <a:xfrm>
          <a:off x="9603287" y="733972"/>
          <a:ext cx="1366962" cy="414247"/>
        </a:xfrm>
        <a:prstGeom prst="rect">
          <a:avLst/>
        </a:prstGeom>
        <a:noFill/>
        <a:ln w="9525" cmpd="sng">
          <a:noFill/>
        </a:ln>
        <a:scene3d>
          <a:camera prst="orthographicFront"/>
          <a:lightRig rig="threePt" dir="t"/>
        </a:scene3d>
        <a:sp3d>
          <a:bevelB/>
        </a:sp3d>
      </xdr:spPr>
      <xdr:style>
        <a:lnRef idx="0">
          <a:scrgbClr r="0" g="0" b="0"/>
        </a:lnRef>
        <a:fillRef idx="1002">
          <a:schemeClr val="dk2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A83FAE6-8DA5-4312-B3DF-B69BD342521D}" type="TxLink">
            <a:rPr lang="en-US" sz="1800" b="1" i="0" u="none" strike="noStrike">
              <a:solidFill>
                <a:srgbClr val="FFC000"/>
              </a:solidFill>
              <a:latin typeface="Calibri"/>
              <a:ea typeface="Calibri"/>
              <a:cs typeface="Calibri"/>
            </a:rPr>
            <a:pPr/>
            <a:t>OverValued</a:t>
          </a:fld>
          <a:endParaRPr lang="en-IN" sz="1800" b="1">
            <a:solidFill>
              <a:srgbClr val="FFC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11</xdr:col>
      <xdr:colOff>351982</xdr:colOff>
      <xdr:row>7</xdr:row>
      <xdr:rowOff>95407</xdr:rowOff>
    </xdr:from>
    <xdr:to>
      <xdr:col>20</xdr:col>
      <xdr:colOff>104384</xdr:colOff>
      <xdr:row>20</xdr:row>
      <xdr:rowOff>38100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5AB78267-A795-4473-987A-BFBB580872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213361</xdr:colOff>
      <xdr:row>22</xdr:row>
      <xdr:rowOff>41753</xdr:rowOff>
    </xdr:from>
    <xdr:to>
      <xdr:col>10</xdr:col>
      <xdr:colOff>187766</xdr:colOff>
      <xdr:row>41</xdr:row>
      <xdr:rowOff>68424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5E760A0-9274-4BF6-8BA7-BE974325AB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598672</xdr:colOff>
      <xdr:row>3</xdr:row>
      <xdr:rowOff>127878</xdr:rowOff>
    </xdr:from>
    <xdr:to>
      <xdr:col>19</xdr:col>
      <xdr:colOff>141936</xdr:colOff>
      <xdr:row>5</xdr:row>
      <xdr:rowOff>154548</xdr:rowOff>
    </xdr:to>
    <xdr:sp macro="" textlink="Excutesummary!C15">
      <xdr:nvSpPr>
        <xdr:cNvPr id="21" name="TextBox 20">
          <a:extLst>
            <a:ext uri="{FF2B5EF4-FFF2-40B4-BE49-F238E27FC236}">
              <a16:creationId xmlns:a16="http://schemas.microsoft.com/office/drawing/2014/main" id="{7BA70129-067F-A46E-7227-481EB7B474BB}"/>
            </a:ext>
          </a:extLst>
        </xdr:cNvPr>
        <xdr:cNvSpPr txBox="1"/>
      </xdr:nvSpPr>
      <xdr:spPr>
        <a:xfrm>
          <a:off x="10890891" y="754179"/>
          <a:ext cx="754113" cy="381574"/>
        </a:xfrm>
        <a:prstGeom prst="rect">
          <a:avLst/>
        </a:prstGeom>
        <a:solidFill>
          <a:srgbClr val="00B0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AAF8F32-7CE7-481A-B410-054C709BE93C}" type="TxLink">
            <a:rPr lang="en-US" sz="1800" b="1" i="0" u="none" strike="noStrike">
              <a:solidFill>
                <a:srgbClr val="FFC000"/>
              </a:solidFill>
              <a:latin typeface="Calibri"/>
              <a:ea typeface="Calibri"/>
              <a:cs typeface="Calibri"/>
            </a:rPr>
            <a:pPr/>
            <a:t>-2.7%</a:t>
          </a:fld>
          <a:endParaRPr lang="en-IN" sz="1800">
            <a:solidFill>
              <a:srgbClr val="FFC000"/>
            </a:solidFill>
          </a:endParaRPr>
        </a:p>
      </xdr:txBody>
    </xdr:sp>
    <xdr:clientData/>
  </xdr:twoCellAnchor>
  <xdr:twoCellAnchor>
    <xdr:from>
      <xdr:col>16</xdr:col>
      <xdr:colOff>73068</xdr:colOff>
      <xdr:row>1</xdr:row>
      <xdr:rowOff>160021</xdr:rowOff>
    </xdr:from>
    <xdr:to>
      <xdr:col>19</xdr:col>
      <xdr:colOff>448850</xdr:colOff>
      <xdr:row>3</xdr:row>
      <xdr:rowOff>118111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511DECD-DDE1-0C47-D7C5-EC65DABD9722}"/>
            </a:ext>
          </a:extLst>
        </xdr:cNvPr>
        <xdr:cNvSpPr txBox="1"/>
      </xdr:nvSpPr>
      <xdr:spPr>
        <a:xfrm>
          <a:off x="9759863" y="337473"/>
          <a:ext cx="2192055" cy="406939"/>
        </a:xfrm>
        <a:prstGeom prst="rect">
          <a:avLst/>
        </a:prstGeom>
        <a:solidFill>
          <a:srgbClr val="00B0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Valuation</a:t>
          </a:r>
          <a:r>
            <a:rPr lang="en-IN" sz="1800" baseline="0"/>
            <a:t> </a:t>
          </a:r>
          <a:r>
            <a:rPr lang="en-IN" sz="1800" b="1" baseline="0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Status</a:t>
          </a:r>
          <a:endParaRPr lang="en-IN" sz="1800" b="1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181933</xdr:colOff>
      <xdr:row>22</xdr:row>
      <xdr:rowOff>20462</xdr:rowOff>
    </xdr:from>
    <xdr:to>
      <xdr:col>20</xdr:col>
      <xdr:colOff>172164</xdr:colOff>
      <xdr:row>42</xdr:row>
      <xdr:rowOff>41606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AAAD90B-EA46-4CC6-909E-7FCE4A13DB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198330</xdr:colOff>
      <xdr:row>44</xdr:row>
      <xdr:rowOff>10438</xdr:rowOff>
    </xdr:from>
    <xdr:to>
      <xdr:col>20</xdr:col>
      <xdr:colOff>83507</xdr:colOff>
      <xdr:row>65</xdr:row>
      <xdr:rowOff>83506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B428B433-6AAB-4625-A854-FE07A488E0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8330" y="8087638"/>
              <a:ext cx="12077177" cy="37535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354904</xdr:colOff>
      <xdr:row>56</xdr:row>
      <xdr:rowOff>114822</xdr:rowOff>
    </xdr:from>
    <xdr:to>
      <xdr:col>5</xdr:col>
      <xdr:colOff>354904</xdr:colOff>
      <xdr:row>64</xdr:row>
      <xdr:rowOff>31315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D7BB096D-70EE-F22E-5F87-3D204AE39967}"/>
            </a:ext>
          </a:extLst>
        </xdr:cNvPr>
        <xdr:cNvCxnSpPr/>
      </xdr:nvCxnSpPr>
      <xdr:spPr>
        <a:xfrm>
          <a:off x="3382027" y="10146082"/>
          <a:ext cx="0" cy="1336110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521918</xdr:colOff>
      <xdr:row>55</xdr:row>
      <xdr:rowOff>52192</xdr:rowOff>
    </xdr:from>
    <xdr:to>
      <xdr:col>8</xdr:col>
      <xdr:colOff>542795</xdr:colOff>
      <xdr:row>64</xdr:row>
      <xdr:rowOff>73068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B941E4B2-CB8C-150F-0737-93156D6F3245}"/>
            </a:ext>
          </a:extLst>
        </xdr:cNvPr>
        <xdr:cNvCxnSpPr/>
      </xdr:nvCxnSpPr>
      <xdr:spPr>
        <a:xfrm>
          <a:off x="5365315" y="9906000"/>
          <a:ext cx="20877" cy="1617945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521918</xdr:colOff>
      <xdr:row>55</xdr:row>
      <xdr:rowOff>62630</xdr:rowOff>
    </xdr:from>
    <xdr:to>
      <xdr:col>11</xdr:col>
      <xdr:colOff>542795</xdr:colOff>
      <xdr:row>64</xdr:row>
      <xdr:rowOff>20876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7AEC7236-5B06-6375-ABF9-400CE5D513C8}"/>
            </a:ext>
          </a:extLst>
        </xdr:cNvPr>
        <xdr:cNvCxnSpPr/>
      </xdr:nvCxnSpPr>
      <xdr:spPr>
        <a:xfrm>
          <a:off x="7181589" y="9916438"/>
          <a:ext cx="20877" cy="1555315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125260</xdr:colOff>
      <xdr:row>52</xdr:row>
      <xdr:rowOff>146137</xdr:rowOff>
    </xdr:from>
    <xdr:to>
      <xdr:col>15</xdr:col>
      <xdr:colOff>125260</xdr:colOff>
      <xdr:row>64</xdr:row>
      <xdr:rowOff>52191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E0B85CEE-6D82-BBD8-6FC1-2128E09B65A1}"/>
            </a:ext>
          </a:extLst>
        </xdr:cNvPr>
        <xdr:cNvCxnSpPr/>
      </xdr:nvCxnSpPr>
      <xdr:spPr>
        <a:xfrm>
          <a:off x="9206630" y="9467589"/>
          <a:ext cx="0" cy="2035479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0.31987</cdr:x>
      <cdr:y>0.20718</cdr:y>
    </cdr:from>
    <cdr:to>
      <cdr:x>0.54927</cdr:x>
      <cdr:y>0.33702</cdr:y>
    </cdr:to>
    <cdr:sp macro="" textlink="">
      <cdr:nvSpPr>
        <cdr:cNvPr id="3" name="Callout: Bent Line 2">
          <a:extLst xmlns:a="http://schemas.openxmlformats.org/drawingml/2006/main">
            <a:ext uri="{FF2B5EF4-FFF2-40B4-BE49-F238E27FC236}">
              <a16:creationId xmlns:a16="http://schemas.microsoft.com/office/drawing/2014/main" id="{7B47FD47-168B-FFFB-920A-D156EA7F4506}"/>
            </a:ext>
          </a:extLst>
        </cdr:cNvPr>
        <cdr:cNvSpPr/>
      </cdr:nvSpPr>
      <cdr:spPr>
        <a:xfrm xmlns:a="http://schemas.openxmlformats.org/drawingml/2006/main">
          <a:off x="1934307" y="732692"/>
          <a:ext cx="1387231" cy="459155"/>
        </a:xfrm>
        <a:prstGeom xmlns:a="http://schemas.openxmlformats.org/drawingml/2006/main"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355470"/>
            <a:gd name="adj6" fmla="val 17353"/>
          </a:avLst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chemeClr val="bg2">
              <a:lumMod val="75000"/>
            </a:schemeClr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IN" sz="1100" b="1" kern="120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Base Case</a:t>
          </a:r>
          <a:r>
            <a:rPr lang="en-IN" sz="1100" b="1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EV= 1,05,442Cr.</a:t>
          </a:r>
          <a:endParaRPr lang="en-IN" sz="1100" b="1" kern="1200">
            <a:solidFill>
              <a:schemeClr val="tx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Parallax">
  <a:themeElements>
    <a:clrScheme name="Parallax">
      <a:dk1>
        <a:sysClr val="windowText" lastClr="000000"/>
      </a:dk1>
      <a:lt1>
        <a:sysClr val="window" lastClr="FFFFFF"/>
      </a:lt1>
      <a:dk2>
        <a:srgbClr val="212121"/>
      </a:dk2>
      <a:lt2>
        <a:srgbClr val="CDD0D1"/>
      </a:lt2>
      <a:accent1>
        <a:srgbClr val="30ACEC"/>
      </a:accent1>
      <a:accent2>
        <a:srgbClr val="80C34F"/>
      </a:accent2>
      <a:accent3>
        <a:srgbClr val="E29D3E"/>
      </a:accent3>
      <a:accent4>
        <a:srgbClr val="D64A3B"/>
      </a:accent4>
      <a:accent5>
        <a:srgbClr val="D64787"/>
      </a:accent5>
      <a:accent6>
        <a:srgbClr val="A666E1"/>
      </a:accent6>
      <a:hlink>
        <a:srgbClr val="3085ED"/>
      </a:hlink>
      <a:folHlink>
        <a:srgbClr val="82B6F4"/>
      </a:folHlink>
    </a:clrScheme>
    <a:fontScheme name="Parallax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rallax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04000"/>
              </a:schemeClr>
            </a:gs>
            <a:gs pos="100000">
              <a:schemeClr val="phClr">
                <a:tint val="84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2000"/>
              </a:schemeClr>
            </a:gs>
            <a:gs pos="100000">
              <a:schemeClr val="phClr">
                <a:shade val="88000"/>
                <a:lumMod val="94000"/>
              </a:schemeClr>
            </a:gs>
          </a:gsLst>
          <a:path path="circle">
            <a:fillToRect l="50000" t="100000" r="100000" b="50000"/>
          </a:path>
        </a:gradFill>
      </a:fillStyleLst>
      <a:lnStyleLst>
        <a:ln w="9525" cap="rnd" cmpd="sng" algn="ctr">
          <a:solidFill>
            <a:schemeClr val="phClr">
              <a:tint val="6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reflection blurRad="12700" stA="26000" endPos="32000" dist="12700" dir="5400000" sy="-100000" rotWithShape="0"/>
          </a:effectLst>
        </a:effectStyle>
        <a:effectStyle>
          <a:effectLst>
            <a:outerShdw blurRad="38100" dist="25400" dir="5400000" rotWithShape="0">
              <a:srgbClr val="000000">
                <a:alpha val="64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25400" h="127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98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shade val="76000"/>
                <a:satMod val="180000"/>
              </a:schemeClr>
              <a:schemeClr val="phClr">
                <a:tint val="80000"/>
                <a:satMod val="120000"/>
                <a:lumMod val="180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Parallax" id="{3388167B-A2EB-4685-9635-1831D9AEF8C4}" vid="{4F7A876A-7598-49CA-AFC8-8EDA2551E4A7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8"/>
  <sheetViews>
    <sheetView zoomScale="80" zoomScaleNormal="80" workbookViewId="0">
      <pane xSplit="1" ySplit="1" topLeftCell="B215" activePane="bottomRight" state="frozen"/>
      <selection pane="topRight" activeCell="B1" sqref="B1"/>
      <selection pane="bottomLeft" activeCell="A2" sqref="A2"/>
      <selection pane="bottomRight" activeCell="K211" sqref="K211"/>
    </sheetView>
  </sheetViews>
  <sheetFormatPr defaultColWidth="12.6640625" defaultRowHeight="15.75" customHeight="1" x14ac:dyDescent="0.3"/>
  <cols>
    <col min="1" max="1" width="43.5546875" style="1" customWidth="1"/>
    <col min="2" max="2" width="12.6640625" style="1"/>
    <col min="3" max="3" width="13.33203125" style="1" customWidth="1"/>
    <col min="4" max="10" width="12.6640625" style="1"/>
    <col min="11" max="11" width="16.88671875" style="1" customWidth="1"/>
    <col min="12" max="25" width="12.6640625" style="1"/>
    <col min="26" max="26" width="19.5546875" style="1" customWidth="1"/>
    <col min="27" max="16384" width="12.6640625" style="1"/>
  </cols>
  <sheetData>
    <row r="1" spans="1:23" ht="14.4" x14ac:dyDescent="0.3">
      <c r="A1" s="39" t="s">
        <v>118</v>
      </c>
      <c r="B1" s="40">
        <v>2016</v>
      </c>
      <c r="C1" s="40">
        <f t="shared" ref="C1:P1" si="0">B1+1</f>
        <v>2017</v>
      </c>
      <c r="D1" s="40">
        <f t="shared" si="0"/>
        <v>2018</v>
      </c>
      <c r="E1" s="40">
        <f t="shared" si="0"/>
        <v>2019</v>
      </c>
      <c r="F1" s="40">
        <f t="shared" si="0"/>
        <v>2020</v>
      </c>
      <c r="G1" s="40">
        <f t="shared" si="0"/>
        <v>2021</v>
      </c>
      <c r="H1" s="40">
        <f t="shared" si="0"/>
        <v>2022</v>
      </c>
      <c r="I1" s="40">
        <f t="shared" si="0"/>
        <v>2023</v>
      </c>
      <c r="J1" s="40">
        <f t="shared" si="0"/>
        <v>2024</v>
      </c>
      <c r="K1" s="41">
        <f t="shared" si="0"/>
        <v>2025</v>
      </c>
      <c r="L1" s="41">
        <f t="shared" si="0"/>
        <v>2026</v>
      </c>
      <c r="M1" s="41">
        <f t="shared" si="0"/>
        <v>2027</v>
      </c>
      <c r="N1" s="41">
        <f t="shared" si="0"/>
        <v>2028</v>
      </c>
      <c r="O1" s="41">
        <f t="shared" si="0"/>
        <v>2029</v>
      </c>
      <c r="P1" s="41">
        <f t="shared" si="0"/>
        <v>2030</v>
      </c>
      <c r="Q1" s="42">
        <f t="shared" ref="Q1" si="1">P1+1</f>
        <v>2031</v>
      </c>
      <c r="R1" s="42">
        <f t="shared" ref="R1" si="2">Q1+1</f>
        <v>2032</v>
      </c>
      <c r="S1" s="42">
        <f t="shared" ref="S1" si="3">R1+1</f>
        <v>2033</v>
      </c>
      <c r="T1" s="42">
        <f t="shared" ref="T1" si="4">S1+1</f>
        <v>2034</v>
      </c>
      <c r="U1" s="42">
        <f>T1+1</f>
        <v>2035</v>
      </c>
      <c r="V1" s="42">
        <f>U1+1</f>
        <v>2036</v>
      </c>
      <c r="W1" s="43" t="s">
        <v>115</v>
      </c>
    </row>
    <row r="2" spans="1:23" ht="14.4" x14ac:dyDescent="0.3">
      <c r="A2" s="44" t="s">
        <v>0</v>
      </c>
      <c r="B2" s="45"/>
      <c r="C2" s="45"/>
      <c r="D2" s="45"/>
      <c r="E2" s="45"/>
      <c r="F2" s="45"/>
      <c r="G2" s="45"/>
      <c r="H2" s="45"/>
      <c r="I2" s="45"/>
    </row>
    <row r="3" spans="1:23" ht="14.4" x14ac:dyDescent="0.3">
      <c r="A3" s="46" t="s">
        <v>1</v>
      </c>
      <c r="B3" s="27">
        <v>30700.880000000001</v>
      </c>
      <c r="C3" s="27">
        <v>30871.59</v>
      </c>
      <c r="D3" s="27">
        <v>32871.82</v>
      </c>
      <c r="E3" s="27">
        <v>33650.54</v>
      </c>
      <c r="F3" s="27">
        <v>28836.09</v>
      </c>
      <c r="G3" s="30">
        <v>30800.62</v>
      </c>
      <c r="H3" s="30">
        <v>29245.47</v>
      </c>
      <c r="I3" s="30">
        <v>33805.65</v>
      </c>
      <c r="J3" s="27">
        <v>37455.72</v>
      </c>
      <c r="K3" s="27">
        <f>(K99*K120)/(10^7)</f>
        <v>50446.579199592103</v>
      </c>
      <c r="L3" s="27">
        <f t="shared" ref="L3:P3" si="5">(L99*L120)/(10^7)</f>
        <v>61484.010235229442</v>
      </c>
      <c r="M3" s="27">
        <f t="shared" si="5"/>
        <v>74983.272443503447</v>
      </c>
      <c r="N3" s="27">
        <f t="shared" si="5"/>
        <v>91500.751190008552</v>
      </c>
      <c r="O3" s="27">
        <f t="shared" si="5"/>
        <v>111719.68873243847</v>
      </c>
      <c r="P3" s="27">
        <f t="shared" si="5"/>
        <v>136479.27500607108</v>
      </c>
    </row>
    <row r="4" spans="1:23" ht="14.4" x14ac:dyDescent="0.3">
      <c r="A4" s="46" t="s">
        <v>2</v>
      </c>
      <c r="B4" s="27">
        <v>422</v>
      </c>
      <c r="C4" s="27">
        <v>522.42999999999995</v>
      </c>
      <c r="D4" s="27">
        <v>525.82000000000005</v>
      </c>
      <c r="E4" s="27">
        <v>691.25</v>
      </c>
      <c r="F4" s="27">
        <v>778.34</v>
      </c>
      <c r="G4" s="47">
        <v>579.85</v>
      </c>
      <c r="H4" s="47">
        <v>556.91</v>
      </c>
      <c r="I4" s="47">
        <v>565.16</v>
      </c>
      <c r="J4" s="27">
        <v>892.55</v>
      </c>
      <c r="K4" s="48">
        <f>MEDIAN(B4:J4)</f>
        <v>565.16</v>
      </c>
      <c r="L4" s="48">
        <f>K4</f>
        <v>565.16</v>
      </c>
      <c r="M4" s="48">
        <f t="shared" ref="M4:P4" si="6">L4</f>
        <v>565.16</v>
      </c>
      <c r="N4" s="48">
        <f t="shared" si="6"/>
        <v>565.16</v>
      </c>
      <c r="O4" s="48">
        <f t="shared" si="6"/>
        <v>565.16</v>
      </c>
      <c r="P4" s="48">
        <f t="shared" si="6"/>
        <v>565.16</v>
      </c>
    </row>
    <row r="5" spans="1:23" ht="14.4" x14ac:dyDescent="0.3">
      <c r="A5" s="49"/>
    </row>
    <row r="6" spans="1:23" ht="14.4" x14ac:dyDescent="0.3">
      <c r="A6" s="50" t="s">
        <v>3</v>
      </c>
      <c r="B6" s="51">
        <f t="shared" ref="B6:P6" si="7">SUM(B3:B4)</f>
        <v>31122.880000000001</v>
      </c>
      <c r="C6" s="51">
        <f t="shared" si="7"/>
        <v>31394.02</v>
      </c>
      <c r="D6" s="51">
        <f t="shared" si="7"/>
        <v>33397.64</v>
      </c>
      <c r="E6" s="51">
        <f t="shared" si="7"/>
        <v>34341.79</v>
      </c>
      <c r="F6" s="51">
        <f t="shared" si="7"/>
        <v>29614.43</v>
      </c>
      <c r="G6" s="51">
        <f t="shared" si="7"/>
        <v>31380.469999999998</v>
      </c>
      <c r="H6" s="51">
        <f t="shared" si="7"/>
        <v>29802.38</v>
      </c>
      <c r="I6" s="51">
        <f t="shared" si="7"/>
        <v>34370.810000000005</v>
      </c>
      <c r="J6" s="51">
        <f t="shared" si="7"/>
        <v>38348.270000000004</v>
      </c>
      <c r="K6" s="51">
        <f t="shared" si="7"/>
        <v>51011.739199592106</v>
      </c>
      <c r="L6" s="51">
        <f t="shared" si="7"/>
        <v>62049.170235229445</v>
      </c>
      <c r="M6" s="51">
        <f t="shared" si="7"/>
        <v>75548.43244350345</v>
      </c>
      <c r="N6" s="51">
        <f t="shared" si="7"/>
        <v>92065.911190008555</v>
      </c>
      <c r="O6" s="51">
        <f t="shared" si="7"/>
        <v>112284.84873243848</v>
      </c>
      <c r="P6" s="51">
        <f t="shared" si="7"/>
        <v>137044.43500607109</v>
      </c>
    </row>
    <row r="7" spans="1:23" ht="14.4" x14ac:dyDescent="0.3">
      <c r="A7" s="49"/>
    </row>
    <row r="8" spans="1:23" ht="14.4" x14ac:dyDescent="0.3">
      <c r="A8" s="44" t="s">
        <v>4</v>
      </c>
    </row>
    <row r="9" spans="1:23" ht="14.4" x14ac:dyDescent="0.3">
      <c r="A9" s="46" t="s">
        <v>5</v>
      </c>
      <c r="B9" s="27">
        <v>19321.72</v>
      </c>
      <c r="C9" s="27">
        <v>18974.11</v>
      </c>
      <c r="D9" s="27">
        <v>21857.79</v>
      </c>
      <c r="E9" s="27">
        <v>23346.1</v>
      </c>
      <c r="F9" s="27">
        <v>19867.189999999999</v>
      </c>
      <c r="G9" s="30">
        <v>21875.33</v>
      </c>
      <c r="H9" s="30">
        <v>20708.07</v>
      </c>
      <c r="I9" s="30">
        <v>24019.73</v>
      </c>
      <c r="J9" s="27">
        <v>24767.46</v>
      </c>
      <c r="K9" s="27">
        <f>K$3*K125</f>
        <v>34555.906751720591</v>
      </c>
      <c r="L9" s="27">
        <f t="shared" ref="L9:P9" si="8">L$3*L125</f>
        <v>42116.54701113217</v>
      </c>
      <c r="M9" s="27">
        <f t="shared" si="8"/>
        <v>51363.541623799865</v>
      </c>
      <c r="N9" s="27">
        <f t="shared" si="8"/>
        <v>62678.014565155863</v>
      </c>
      <c r="O9" s="27">
        <f t="shared" si="8"/>
        <v>76527.986781720363</v>
      </c>
      <c r="P9" s="27">
        <f t="shared" si="8"/>
        <v>93488.303379158693</v>
      </c>
    </row>
    <row r="10" spans="1:23" ht="14.4" x14ac:dyDescent="0.3">
      <c r="A10" s="46" t="s">
        <v>6</v>
      </c>
      <c r="B10" s="27"/>
      <c r="C10" s="27"/>
      <c r="D10" s="27"/>
      <c r="E10" s="27"/>
      <c r="F10" s="27"/>
      <c r="G10" s="47">
        <v>30.46</v>
      </c>
      <c r="H10" s="47">
        <v>45.95</v>
      </c>
      <c r="I10" s="47">
        <v>47.43</v>
      </c>
      <c r="J10" s="27">
        <v>484.2</v>
      </c>
      <c r="K10" s="27">
        <f t="shared" ref="K10:P10" si="9">K$3*K126</f>
        <v>652.1362731364527</v>
      </c>
      <c r="L10" s="27">
        <f t="shared" si="9"/>
        <v>794.8200636884859</v>
      </c>
      <c r="M10" s="27">
        <f t="shared" si="9"/>
        <v>969.32859699785161</v>
      </c>
      <c r="N10" s="27">
        <f t="shared" si="9"/>
        <v>1182.8544138572731</v>
      </c>
      <c r="O10" s="27">
        <f t="shared" si="9"/>
        <v>1444.2299676590574</v>
      </c>
      <c r="P10" s="27">
        <f t="shared" si="9"/>
        <v>1764.303688673976</v>
      </c>
    </row>
    <row r="11" spans="1:23" ht="14.4" x14ac:dyDescent="0.3">
      <c r="A11" s="46" t="s">
        <v>7</v>
      </c>
      <c r="B11" s="27">
        <v>-11.88</v>
      </c>
      <c r="C11" s="27">
        <v>63.17</v>
      </c>
      <c r="D11" s="27">
        <v>-23.15</v>
      </c>
      <c r="E11" s="27">
        <v>-28.38</v>
      </c>
      <c r="F11" s="27">
        <v>-169.78</v>
      </c>
      <c r="G11" s="47">
        <v>-143.46</v>
      </c>
      <c r="H11" s="47">
        <v>72.709999999999994</v>
      </c>
      <c r="I11" s="1">
        <v>-209.04</v>
      </c>
      <c r="J11" s="27">
        <v>179.11</v>
      </c>
      <c r="K11" s="27">
        <f t="shared" ref="K11:P11" si="10">K$3*K127</f>
        <v>241.23116043261058</v>
      </c>
      <c r="L11" s="27">
        <f t="shared" si="10"/>
        <v>294.01119704098454</v>
      </c>
      <c r="M11" s="27">
        <f t="shared" si="10"/>
        <v>358.56349650616522</v>
      </c>
      <c r="N11" s="27">
        <f t="shared" si="10"/>
        <v>437.54864532419697</v>
      </c>
      <c r="O11" s="27">
        <f t="shared" si="10"/>
        <v>534.2338486315856</v>
      </c>
      <c r="P11" s="27">
        <f t="shared" si="10"/>
        <v>652.63203981494394</v>
      </c>
    </row>
    <row r="12" spans="1:23" ht="14.4" x14ac:dyDescent="0.3">
      <c r="A12" s="46" t="s">
        <v>8</v>
      </c>
      <c r="B12" s="27">
        <v>1315.93</v>
      </c>
      <c r="C12" s="27">
        <v>1396.01</v>
      </c>
      <c r="D12" s="27">
        <v>1540.13</v>
      </c>
      <c r="E12" s="27">
        <v>1730.24</v>
      </c>
      <c r="F12" s="27">
        <v>1841.7</v>
      </c>
      <c r="G12" s="30">
        <v>1898.72</v>
      </c>
      <c r="H12" s="30">
        <v>1935.44</v>
      </c>
      <c r="I12" s="30">
        <v>2189.83</v>
      </c>
      <c r="J12" s="27">
        <v>2402.34</v>
      </c>
      <c r="K12" s="27">
        <f t="shared" ref="K12:P12" si="11">K$3*K128</f>
        <v>3279.0276479734866</v>
      </c>
      <c r="L12" s="27">
        <f t="shared" si="11"/>
        <v>3996.4606652899138</v>
      </c>
      <c r="M12" s="27">
        <f t="shared" si="11"/>
        <v>4873.9127088277246</v>
      </c>
      <c r="N12" s="27">
        <f t="shared" si="11"/>
        <v>5947.5488273505562</v>
      </c>
      <c r="O12" s="27">
        <f t="shared" si="11"/>
        <v>7261.7797676085011</v>
      </c>
      <c r="P12" s="27">
        <f t="shared" si="11"/>
        <v>8871.1528753946204</v>
      </c>
    </row>
    <row r="13" spans="1:23" ht="14.4" x14ac:dyDescent="0.3">
      <c r="A13" s="46" t="s">
        <v>9</v>
      </c>
      <c r="B13" s="27">
        <v>3361.96</v>
      </c>
      <c r="C13" s="27">
        <v>3432.36</v>
      </c>
      <c r="D13" s="27">
        <v>3575.53</v>
      </c>
      <c r="E13" s="27">
        <v>3672.49</v>
      </c>
      <c r="F13" s="27">
        <v>3339.02</v>
      </c>
      <c r="G13" s="30">
        <v>3120.33</v>
      </c>
      <c r="H13" s="30">
        <v>3114.53</v>
      </c>
      <c r="I13" s="30">
        <v>3771.47</v>
      </c>
      <c r="J13" s="27">
        <v>4366.8999999999996</v>
      </c>
      <c r="K13" s="27">
        <f t="shared" ref="K13:P13" si="12">K$3*K129</f>
        <v>5549.1237119551315</v>
      </c>
      <c r="L13" s="27">
        <f t="shared" si="12"/>
        <v>6763.241125875239</v>
      </c>
      <c r="M13" s="27">
        <f t="shared" si="12"/>
        <v>8248.1599687853795</v>
      </c>
      <c r="N13" s="27">
        <f t="shared" si="12"/>
        <v>10065.082630900941</v>
      </c>
      <c r="O13" s="27">
        <f t="shared" si="12"/>
        <v>12289.165760568232</v>
      </c>
      <c r="P13" s="27">
        <f t="shared" si="12"/>
        <v>15012.720250667819</v>
      </c>
    </row>
    <row r="14" spans="1:23" ht="14.4" x14ac:dyDescent="0.3">
      <c r="A14" s="46" t="s">
        <v>10</v>
      </c>
      <c r="B14" s="27">
        <v>2258.1799999999998</v>
      </c>
      <c r="C14" s="27">
        <v>2371.13</v>
      </c>
      <c r="D14" s="27">
        <v>641.33000000000004</v>
      </c>
      <c r="E14" s="27">
        <v>0</v>
      </c>
      <c r="F14" s="27">
        <v>0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27">
        <v>0</v>
      </c>
      <c r="N14" s="27">
        <v>0</v>
      </c>
      <c r="O14" s="27">
        <v>0</v>
      </c>
      <c r="P14" s="27">
        <v>0</v>
      </c>
    </row>
    <row r="15" spans="1:23" ht="14.4" x14ac:dyDescent="0.3">
      <c r="A15" s="49"/>
    </row>
    <row r="16" spans="1:23" s="25" customFormat="1" ht="14.4" x14ac:dyDescent="0.3">
      <c r="A16" s="50" t="s">
        <v>11</v>
      </c>
      <c r="B16" s="51">
        <f t="shared" ref="B16:P16" si="13">SUM(B9:B14)</f>
        <v>26245.91</v>
      </c>
      <c r="C16" s="51">
        <f t="shared" si="13"/>
        <v>26236.78</v>
      </c>
      <c r="D16" s="51">
        <f t="shared" si="13"/>
        <v>27591.63</v>
      </c>
      <c r="E16" s="51">
        <f t="shared" si="13"/>
        <v>28720.449999999997</v>
      </c>
      <c r="F16" s="51">
        <f t="shared" si="13"/>
        <v>24878.13</v>
      </c>
      <c r="G16" s="51">
        <f t="shared" si="13"/>
        <v>26781.380000000005</v>
      </c>
      <c r="H16" s="51">
        <f t="shared" si="13"/>
        <v>25876.699999999997</v>
      </c>
      <c r="I16" s="51">
        <f t="shared" si="13"/>
        <v>29819.42</v>
      </c>
      <c r="J16" s="51">
        <f t="shared" si="13"/>
        <v>32200.010000000002</v>
      </c>
      <c r="K16" s="51">
        <f t="shared" si="13"/>
        <v>44277.42554521827</v>
      </c>
      <c r="L16" s="51">
        <f t="shared" si="13"/>
        <v>53965.080063026799</v>
      </c>
      <c r="M16" s="51">
        <f t="shared" si="13"/>
        <v>65813.506394916985</v>
      </c>
      <c r="N16" s="51">
        <f t="shared" si="13"/>
        <v>80311.049082588841</v>
      </c>
      <c r="O16" s="51">
        <f t="shared" si="13"/>
        <v>98057.396126187741</v>
      </c>
      <c r="P16" s="51">
        <f t="shared" si="13"/>
        <v>119789.11223371004</v>
      </c>
    </row>
    <row r="17" spans="1:17" ht="14.4" x14ac:dyDescent="0.3">
      <c r="A17" s="49"/>
    </row>
    <row r="18" spans="1:17" ht="14.4" x14ac:dyDescent="0.3">
      <c r="A18" s="44" t="s">
        <v>12</v>
      </c>
      <c r="B18" s="27">
        <f t="shared" ref="B18:P18" si="14">B6-B16</f>
        <v>4876.9700000000012</v>
      </c>
      <c r="C18" s="27">
        <f t="shared" si="14"/>
        <v>5157.2400000000016</v>
      </c>
      <c r="D18" s="27">
        <f t="shared" si="14"/>
        <v>5806.0099999999984</v>
      </c>
      <c r="E18" s="27">
        <f t="shared" si="14"/>
        <v>5621.3400000000038</v>
      </c>
      <c r="F18" s="27">
        <f t="shared" si="14"/>
        <v>4736.2999999999993</v>
      </c>
      <c r="G18" s="27">
        <f t="shared" si="14"/>
        <v>4599.0899999999929</v>
      </c>
      <c r="H18" s="27">
        <f t="shared" si="14"/>
        <v>3925.6800000000039</v>
      </c>
      <c r="I18" s="27">
        <f t="shared" si="14"/>
        <v>4551.3900000000067</v>
      </c>
      <c r="J18" s="27">
        <f t="shared" si="14"/>
        <v>6148.260000000002</v>
      </c>
      <c r="K18" s="27">
        <f t="shared" si="14"/>
        <v>6734.3136543738365</v>
      </c>
      <c r="L18" s="27">
        <f t="shared" si="14"/>
        <v>8084.0901722026465</v>
      </c>
      <c r="M18" s="27">
        <f t="shared" si="14"/>
        <v>9734.9260485864652</v>
      </c>
      <c r="N18" s="27">
        <f t="shared" si="14"/>
        <v>11754.862107419714</v>
      </c>
      <c r="O18" s="27">
        <f t="shared" si="14"/>
        <v>14227.452606250736</v>
      </c>
      <c r="P18" s="27">
        <f t="shared" si="14"/>
        <v>17255.322772361047</v>
      </c>
    </row>
    <row r="19" spans="1:17" ht="14.4" x14ac:dyDescent="0.3">
      <c r="A19" s="49"/>
    </row>
    <row r="20" spans="1:17" ht="14.4" x14ac:dyDescent="0.3">
      <c r="A20" s="46" t="s">
        <v>13</v>
      </c>
      <c r="B20" s="27">
        <v>437.64</v>
      </c>
      <c r="C20" s="27">
        <v>492.73</v>
      </c>
      <c r="D20" s="27">
        <v>555.6</v>
      </c>
      <c r="E20" s="27">
        <v>602.01</v>
      </c>
      <c r="F20" s="27">
        <v>817.96</v>
      </c>
      <c r="G20" s="47">
        <v>676.87</v>
      </c>
      <c r="H20" s="47">
        <v>649.75</v>
      </c>
      <c r="I20" s="47">
        <v>656.96</v>
      </c>
      <c r="J20" s="27">
        <v>711.41</v>
      </c>
      <c r="K20" s="30">
        <f>K204</f>
        <v>793.1</v>
      </c>
      <c r="L20" s="30">
        <f t="shared" ref="L20:P20" si="15">L204</f>
        <v>854.7</v>
      </c>
      <c r="M20" s="30">
        <f t="shared" si="15"/>
        <v>916.3</v>
      </c>
      <c r="N20" s="30">
        <f t="shared" si="15"/>
        <v>977.9</v>
      </c>
      <c r="O20" s="30">
        <f t="shared" si="15"/>
        <v>1039.5</v>
      </c>
      <c r="P20" s="30">
        <f t="shared" si="15"/>
        <v>1101.0999999999999</v>
      </c>
    </row>
    <row r="21" spans="1:17" ht="14.4" x14ac:dyDescent="0.3">
      <c r="A21" s="49"/>
    </row>
    <row r="22" spans="1:17" ht="14.4" x14ac:dyDescent="0.3">
      <c r="A22" s="44" t="s">
        <v>14</v>
      </c>
      <c r="B22" s="52">
        <f t="shared" ref="B22:P22" si="16">B18-B20</f>
        <v>4439.3300000000008</v>
      </c>
      <c r="C22" s="52">
        <f t="shared" si="16"/>
        <v>4664.510000000002</v>
      </c>
      <c r="D22" s="52">
        <f t="shared" si="16"/>
        <v>5250.409999999998</v>
      </c>
      <c r="E22" s="52">
        <f t="shared" si="16"/>
        <v>5019.3300000000036</v>
      </c>
      <c r="F22" s="52">
        <f t="shared" si="16"/>
        <v>3918.3399999999992</v>
      </c>
      <c r="G22" s="52">
        <f t="shared" si="16"/>
        <v>3922.219999999993</v>
      </c>
      <c r="H22" s="52">
        <f t="shared" si="16"/>
        <v>3275.9300000000039</v>
      </c>
      <c r="I22" s="52">
        <f t="shared" si="16"/>
        <v>3894.4300000000067</v>
      </c>
      <c r="J22" s="52">
        <f t="shared" si="16"/>
        <v>5436.8500000000022</v>
      </c>
      <c r="K22" s="52">
        <f t="shared" si="16"/>
        <v>5941.2136543738361</v>
      </c>
      <c r="L22" s="52">
        <f t="shared" si="16"/>
        <v>7229.3901722026467</v>
      </c>
      <c r="M22" s="52">
        <f t="shared" si="16"/>
        <v>8818.6260485864659</v>
      </c>
      <c r="N22" s="52">
        <f t="shared" si="16"/>
        <v>10776.962107419715</v>
      </c>
      <c r="O22" s="52">
        <f t="shared" si="16"/>
        <v>13187.952606250736</v>
      </c>
      <c r="P22" s="52">
        <f t="shared" si="16"/>
        <v>16154.222772361047</v>
      </c>
    </row>
    <row r="23" spans="1:17" ht="14.4" x14ac:dyDescent="0.3">
      <c r="A23" s="49"/>
      <c r="Q23" s="33"/>
    </row>
    <row r="24" spans="1:17" ht="14.4" x14ac:dyDescent="0.3">
      <c r="A24" s="46" t="s">
        <v>15</v>
      </c>
      <c r="B24" s="27">
        <v>4.8899999999999997</v>
      </c>
      <c r="C24" s="27">
        <v>6.05</v>
      </c>
      <c r="D24" s="27">
        <v>6.25</v>
      </c>
      <c r="E24" s="27">
        <v>8.6</v>
      </c>
      <c r="F24" s="27">
        <v>22.02</v>
      </c>
      <c r="G24" s="47">
        <v>21.84</v>
      </c>
      <c r="H24" s="47"/>
      <c r="I24" s="47">
        <v>19.87</v>
      </c>
      <c r="J24" s="27">
        <v>18.5</v>
      </c>
      <c r="K24" s="53">
        <f>J24</f>
        <v>18.5</v>
      </c>
      <c r="L24" s="53">
        <f t="shared" ref="L24:P24" si="17">K24</f>
        <v>18.5</v>
      </c>
      <c r="M24" s="53">
        <f t="shared" si="17"/>
        <v>18.5</v>
      </c>
      <c r="N24" s="53">
        <f t="shared" si="17"/>
        <v>18.5</v>
      </c>
      <c r="O24" s="53">
        <f t="shared" si="17"/>
        <v>18.5</v>
      </c>
      <c r="P24" s="53">
        <f t="shared" si="17"/>
        <v>18.5</v>
      </c>
    </row>
    <row r="25" spans="1:17" ht="14.4" x14ac:dyDescent="0.3">
      <c r="A25" s="49"/>
    </row>
    <row r="26" spans="1:17" ht="14.4" x14ac:dyDescent="0.3">
      <c r="A26" s="44" t="s">
        <v>16</v>
      </c>
      <c r="B26" s="52">
        <f t="shared" ref="B26:P26" si="18">B22-B24</f>
        <v>4434.4400000000005</v>
      </c>
      <c r="C26" s="52">
        <f t="shared" si="18"/>
        <v>4658.4600000000019</v>
      </c>
      <c r="D26" s="52">
        <f t="shared" si="18"/>
        <v>5244.159999999998</v>
      </c>
      <c r="E26" s="52">
        <f t="shared" si="18"/>
        <v>5010.7300000000032</v>
      </c>
      <c r="F26" s="52">
        <f t="shared" si="18"/>
        <v>3896.3199999999993</v>
      </c>
      <c r="G26" s="52">
        <f t="shared" si="18"/>
        <v>3900.3799999999928</v>
      </c>
      <c r="H26" s="52">
        <f t="shared" si="18"/>
        <v>3275.9300000000039</v>
      </c>
      <c r="I26" s="52">
        <f t="shared" si="18"/>
        <v>3874.5600000000068</v>
      </c>
      <c r="J26" s="52">
        <f t="shared" si="18"/>
        <v>5418.3500000000022</v>
      </c>
      <c r="K26" s="52">
        <f t="shared" si="18"/>
        <v>5922.7136543738361</v>
      </c>
      <c r="L26" s="52">
        <f t="shared" si="18"/>
        <v>7210.8901722026467</v>
      </c>
      <c r="M26" s="52">
        <f t="shared" si="18"/>
        <v>8800.1260485864659</v>
      </c>
      <c r="N26" s="52">
        <f t="shared" si="18"/>
        <v>10758.462107419715</v>
      </c>
      <c r="O26" s="52">
        <f t="shared" si="18"/>
        <v>13169.452606250736</v>
      </c>
      <c r="P26" s="52">
        <f t="shared" si="18"/>
        <v>16135.722772361047</v>
      </c>
    </row>
    <row r="27" spans="1:17" ht="14.4" x14ac:dyDescent="0.3">
      <c r="A27" s="49" t="s">
        <v>91</v>
      </c>
      <c r="B27" s="52"/>
      <c r="C27" s="52"/>
      <c r="D27" s="52"/>
      <c r="E27" s="52"/>
      <c r="F27" s="27">
        <v>737.48</v>
      </c>
      <c r="G27" s="52"/>
      <c r="H27" s="52"/>
      <c r="I27" s="52"/>
      <c r="J27" s="52"/>
    </row>
    <row r="28" spans="1:17" ht="14.4" x14ac:dyDescent="0.3">
      <c r="A28" s="49" t="s">
        <v>17</v>
      </c>
      <c r="B28" s="27">
        <v>0</v>
      </c>
      <c r="C28" s="27"/>
      <c r="D28" s="27"/>
      <c r="E28" s="27"/>
      <c r="F28" s="27">
        <v>-60.1</v>
      </c>
      <c r="G28" s="27"/>
      <c r="H28" s="27"/>
      <c r="I28" s="27"/>
      <c r="J28" s="27">
        <v>-160</v>
      </c>
      <c r="Q28" s="38"/>
    </row>
    <row r="29" spans="1:17" ht="14.4" x14ac:dyDescent="0.3">
      <c r="A29" s="44" t="s">
        <v>18</v>
      </c>
      <c r="B29" s="52">
        <f t="shared" ref="B29:P29" si="19">SUM(B26:B28)</f>
        <v>4434.4400000000005</v>
      </c>
      <c r="C29" s="52">
        <f t="shared" si="19"/>
        <v>4658.4600000000019</v>
      </c>
      <c r="D29" s="52">
        <f t="shared" si="19"/>
        <v>5244.159999999998</v>
      </c>
      <c r="E29" s="52">
        <f t="shared" si="19"/>
        <v>5010.7300000000032</v>
      </c>
      <c r="F29" s="52">
        <f t="shared" si="19"/>
        <v>4573.6999999999989</v>
      </c>
      <c r="G29" s="52">
        <f t="shared" si="19"/>
        <v>3900.3799999999928</v>
      </c>
      <c r="H29" s="52">
        <f t="shared" si="19"/>
        <v>3275.9300000000039</v>
      </c>
      <c r="I29" s="52">
        <f t="shared" si="19"/>
        <v>3874.5600000000068</v>
      </c>
      <c r="J29" s="52">
        <f t="shared" si="19"/>
        <v>5258.3500000000022</v>
      </c>
      <c r="K29" s="52">
        <f t="shared" si="19"/>
        <v>5922.7136543738361</v>
      </c>
      <c r="L29" s="52">
        <f t="shared" si="19"/>
        <v>7210.8901722026467</v>
      </c>
      <c r="M29" s="52">
        <f t="shared" si="19"/>
        <v>8800.1260485864659</v>
      </c>
      <c r="N29" s="52">
        <f t="shared" si="19"/>
        <v>10758.462107419715</v>
      </c>
      <c r="O29" s="52">
        <f t="shared" si="19"/>
        <v>13169.452606250736</v>
      </c>
      <c r="P29" s="52">
        <f t="shared" si="19"/>
        <v>16135.722772361047</v>
      </c>
    </row>
    <row r="30" spans="1:17" ht="14.4" x14ac:dyDescent="0.3">
      <c r="A30" s="49"/>
    </row>
    <row r="31" spans="1:17" ht="14.4" x14ac:dyDescent="0.3">
      <c r="A31" s="46" t="s">
        <v>19</v>
      </c>
      <c r="B31" s="27">
        <v>1274.68</v>
      </c>
      <c r="C31" s="27">
        <v>1281.3399999999999</v>
      </c>
      <c r="D31" s="27">
        <v>1546.8</v>
      </c>
      <c r="E31" s="30">
        <v>1625.86</v>
      </c>
      <c r="F31" s="47">
        <v>940.43</v>
      </c>
      <c r="G31" s="47">
        <v>936.18</v>
      </c>
      <c r="H31" s="47">
        <v>777.11</v>
      </c>
      <c r="I31" s="47">
        <v>963.98</v>
      </c>
      <c r="J31" s="27">
        <v>1290.4000000000001</v>
      </c>
      <c r="K31" s="27">
        <f>K29*K32</f>
        <v>1776.8140963121507</v>
      </c>
      <c r="L31" s="27">
        <f t="shared" ref="L31:P31" si="20">L29*L32</f>
        <v>2163.2670516607941</v>
      </c>
      <c r="M31" s="27">
        <f t="shared" si="20"/>
        <v>2640.0378145759396</v>
      </c>
      <c r="N31" s="27">
        <f t="shared" si="20"/>
        <v>3227.5386322259142</v>
      </c>
      <c r="O31" s="27">
        <f t="shared" si="20"/>
        <v>3950.8357818752206</v>
      </c>
      <c r="P31" s="27">
        <f t="shared" si="20"/>
        <v>4840.7168317083142</v>
      </c>
    </row>
    <row r="32" spans="1:17" ht="14.4" x14ac:dyDescent="0.3">
      <c r="A32" s="49"/>
      <c r="F32" s="38">
        <f>F31/F29</f>
        <v>0.20561689660449967</v>
      </c>
      <c r="G32" s="38">
        <f>G31/G29</f>
        <v>0.24002276701244538</v>
      </c>
      <c r="H32" s="38">
        <f>H31/H29</f>
        <v>0.23721813347660026</v>
      </c>
      <c r="I32" s="38">
        <f>I31/I29</f>
        <v>0.24879728278823876</v>
      </c>
      <c r="J32" s="38">
        <f>J31/J29</f>
        <v>0.24540017305808848</v>
      </c>
      <c r="K32" s="54">
        <v>0.3</v>
      </c>
      <c r="L32" s="55">
        <f>K32</f>
        <v>0.3</v>
      </c>
      <c r="M32" s="55">
        <f t="shared" ref="M32:P32" si="21">L32</f>
        <v>0.3</v>
      </c>
      <c r="N32" s="55">
        <f t="shared" si="21"/>
        <v>0.3</v>
      </c>
      <c r="O32" s="55">
        <f t="shared" si="21"/>
        <v>0.3</v>
      </c>
      <c r="P32" s="55">
        <f t="shared" si="21"/>
        <v>0.3</v>
      </c>
    </row>
    <row r="33" spans="1:26" ht="14.4" x14ac:dyDescent="0.3">
      <c r="A33" s="44" t="s">
        <v>20</v>
      </c>
      <c r="B33" s="52">
        <f t="shared" ref="B33:P33" si="22">B29-B31</f>
        <v>3159.76</v>
      </c>
      <c r="C33" s="52">
        <f t="shared" si="22"/>
        <v>3377.1200000000017</v>
      </c>
      <c r="D33" s="52">
        <f t="shared" si="22"/>
        <v>3697.3599999999979</v>
      </c>
      <c r="E33" s="52">
        <f t="shared" si="22"/>
        <v>3384.8700000000035</v>
      </c>
      <c r="F33" s="52">
        <f t="shared" si="22"/>
        <v>3633.2699999999991</v>
      </c>
      <c r="G33" s="52">
        <f t="shared" si="22"/>
        <v>2964.199999999993</v>
      </c>
      <c r="H33" s="52">
        <f t="shared" si="22"/>
        <v>2498.8200000000038</v>
      </c>
      <c r="I33" s="52">
        <f t="shared" si="22"/>
        <v>2910.5800000000067</v>
      </c>
      <c r="J33" s="52">
        <f t="shared" si="22"/>
        <v>3967.9500000000021</v>
      </c>
      <c r="K33" s="52">
        <f t="shared" si="22"/>
        <v>4145.8995580616856</v>
      </c>
      <c r="L33" s="52">
        <f t="shared" si="22"/>
        <v>5047.6231205418526</v>
      </c>
      <c r="M33" s="52">
        <f t="shared" si="22"/>
        <v>6160.0882340105263</v>
      </c>
      <c r="N33" s="52">
        <f t="shared" si="22"/>
        <v>7530.9234751938002</v>
      </c>
      <c r="O33" s="52">
        <f t="shared" si="22"/>
        <v>9218.6168243755146</v>
      </c>
      <c r="P33" s="52">
        <f t="shared" si="22"/>
        <v>11295.005940652733</v>
      </c>
    </row>
    <row r="34" spans="1:26" ht="14.4" x14ac:dyDescent="0.3">
      <c r="A34" s="46"/>
      <c r="B34" s="27"/>
      <c r="C34" s="27"/>
      <c r="D34" s="27"/>
      <c r="E34" s="27"/>
      <c r="F34" s="27"/>
      <c r="G34" s="27"/>
      <c r="H34" s="27"/>
      <c r="I34" s="27"/>
      <c r="J34" s="27"/>
    </row>
    <row r="35" spans="1:26" ht="14.4" x14ac:dyDescent="0.3">
      <c r="A35" s="46"/>
    </row>
    <row r="36" spans="1:26" ht="14.4" x14ac:dyDescent="0.3">
      <c r="A36" s="46"/>
    </row>
    <row r="37" spans="1:26" ht="14.4" x14ac:dyDescent="0.3">
      <c r="A37" s="50" t="s">
        <v>21</v>
      </c>
      <c r="B37" s="51">
        <f t="shared" ref="B37:D37" si="23">B33+B34</f>
        <v>3159.76</v>
      </c>
      <c r="C37" s="51">
        <f t="shared" si="23"/>
        <v>3377.1200000000017</v>
      </c>
      <c r="D37" s="51">
        <f t="shared" si="23"/>
        <v>3697.3599999999979</v>
      </c>
      <c r="E37" s="51">
        <f>E33+F34</f>
        <v>3384.8700000000035</v>
      </c>
      <c r="F37" s="51">
        <f t="shared" ref="F37:P37" si="24">F33+F34</f>
        <v>3633.2699999999991</v>
      </c>
      <c r="G37" s="51">
        <f t="shared" si="24"/>
        <v>2964.199999999993</v>
      </c>
      <c r="H37" s="51">
        <f t="shared" si="24"/>
        <v>2498.8200000000038</v>
      </c>
      <c r="I37" s="51">
        <f t="shared" si="24"/>
        <v>2910.5800000000067</v>
      </c>
      <c r="J37" s="51">
        <f t="shared" si="24"/>
        <v>3967.9500000000021</v>
      </c>
      <c r="K37" s="51">
        <f t="shared" si="24"/>
        <v>4145.8995580616856</v>
      </c>
      <c r="L37" s="51">
        <f t="shared" si="24"/>
        <v>5047.6231205418526</v>
      </c>
      <c r="M37" s="51">
        <f t="shared" si="24"/>
        <v>6160.0882340105263</v>
      </c>
      <c r="N37" s="51">
        <f t="shared" si="24"/>
        <v>7530.9234751938002</v>
      </c>
      <c r="O37" s="51">
        <f t="shared" si="24"/>
        <v>9218.6168243755146</v>
      </c>
      <c r="P37" s="51">
        <f t="shared" si="24"/>
        <v>11295.005940652733</v>
      </c>
    </row>
    <row r="38" spans="1:26" ht="14.4" x14ac:dyDescent="0.3">
      <c r="A38" s="46"/>
    </row>
    <row r="39" spans="1:26" ht="14.4" x14ac:dyDescent="0.3">
      <c r="A39" s="46"/>
    </row>
    <row r="40" spans="1:26" ht="14.4" x14ac:dyDescent="0.3">
      <c r="A40" s="44" t="s">
        <v>22</v>
      </c>
    </row>
    <row r="41" spans="1:26" ht="14.4" x14ac:dyDescent="0.3">
      <c r="A41" s="49"/>
    </row>
    <row r="42" spans="1:26" ht="14.4" x14ac:dyDescent="0.3">
      <c r="A42" s="49" t="s">
        <v>23</v>
      </c>
    </row>
    <row r="43" spans="1:26" ht="14.4" x14ac:dyDescent="0.3">
      <c r="A43" s="46" t="s">
        <v>24</v>
      </c>
      <c r="B43" s="27">
        <v>39.94</v>
      </c>
      <c r="C43" s="1">
        <v>40</v>
      </c>
      <c r="D43" s="1">
        <v>40</v>
      </c>
      <c r="E43" s="1">
        <v>40</v>
      </c>
      <c r="F43" s="1">
        <v>40</v>
      </c>
      <c r="G43" s="1">
        <v>40</v>
      </c>
      <c r="H43" s="1">
        <v>40</v>
      </c>
      <c r="I43" s="1">
        <v>40</v>
      </c>
      <c r="J43" s="27">
        <v>39.979999999999997</v>
      </c>
      <c r="K43" s="56">
        <v>40</v>
      </c>
      <c r="L43" s="57">
        <f>K43</f>
        <v>40</v>
      </c>
      <c r="M43" s="57">
        <f t="shared" ref="M43:P43" si="25">L43</f>
        <v>40</v>
      </c>
      <c r="N43" s="57">
        <f t="shared" si="25"/>
        <v>40</v>
      </c>
      <c r="O43" s="57">
        <f t="shared" si="25"/>
        <v>40</v>
      </c>
      <c r="P43" s="57">
        <f t="shared" si="25"/>
        <v>40</v>
      </c>
    </row>
    <row r="44" spans="1:26" ht="14.4" x14ac:dyDescent="0.3">
      <c r="A44" s="46" t="s">
        <v>25</v>
      </c>
      <c r="B44" s="27">
        <v>8794.4699999999993</v>
      </c>
      <c r="C44" s="30">
        <v>10071</v>
      </c>
      <c r="D44" s="30">
        <v>11729</v>
      </c>
      <c r="E44" s="30">
        <v>12817</v>
      </c>
      <c r="F44" s="30">
        <v>14096</v>
      </c>
      <c r="G44" s="30">
        <v>15158</v>
      </c>
      <c r="H44" s="30">
        <v>15743</v>
      </c>
      <c r="I44" s="30">
        <v>16665</v>
      </c>
      <c r="J44" s="27">
        <v>17946.2</v>
      </c>
      <c r="K44" s="30">
        <f>J44+K37</f>
        <v>22092.099558061687</v>
      </c>
      <c r="L44" s="30">
        <f t="shared" ref="L44:P44" si="26">K44+L37</f>
        <v>27139.722678603539</v>
      </c>
      <c r="M44" s="30">
        <f t="shared" si="26"/>
        <v>33299.810912614063</v>
      </c>
      <c r="N44" s="30">
        <f t="shared" si="26"/>
        <v>40830.734387807861</v>
      </c>
      <c r="O44" s="30">
        <f t="shared" si="26"/>
        <v>50049.351212183377</v>
      </c>
      <c r="P44" s="30">
        <f t="shared" si="26"/>
        <v>61344.357152836106</v>
      </c>
    </row>
    <row r="45" spans="1:26" ht="14.4" x14ac:dyDescent="0.3">
      <c r="A45" s="39" t="s">
        <v>26</v>
      </c>
      <c r="B45" s="52">
        <f t="shared" ref="B45:P45" si="27">SUM(B43:B44)</f>
        <v>8834.41</v>
      </c>
      <c r="C45" s="52">
        <f t="shared" si="27"/>
        <v>10111</v>
      </c>
      <c r="D45" s="52">
        <f t="shared" si="27"/>
        <v>11769</v>
      </c>
      <c r="E45" s="52">
        <f t="shared" si="27"/>
        <v>12857</v>
      </c>
      <c r="F45" s="52">
        <f t="shared" si="27"/>
        <v>14136</v>
      </c>
      <c r="G45" s="52">
        <f t="shared" si="27"/>
        <v>15198</v>
      </c>
      <c r="H45" s="52">
        <f t="shared" si="27"/>
        <v>15783</v>
      </c>
      <c r="I45" s="52">
        <f t="shared" si="27"/>
        <v>16705</v>
      </c>
      <c r="J45" s="52">
        <f t="shared" si="27"/>
        <v>17986.18</v>
      </c>
      <c r="K45" s="52">
        <f t="shared" si="27"/>
        <v>22132.099558061687</v>
      </c>
      <c r="L45" s="52">
        <f t="shared" si="27"/>
        <v>27179.722678603539</v>
      </c>
      <c r="M45" s="52">
        <f t="shared" si="27"/>
        <v>33339.810912614063</v>
      </c>
      <c r="N45" s="52">
        <f t="shared" si="27"/>
        <v>40870.734387807861</v>
      </c>
      <c r="O45" s="52">
        <f t="shared" si="27"/>
        <v>50089.351212183377</v>
      </c>
      <c r="P45" s="52">
        <f t="shared" si="27"/>
        <v>61384.357152836106</v>
      </c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14.4" x14ac:dyDescent="0.3">
      <c r="A46" s="49"/>
      <c r="J46" s="27"/>
    </row>
    <row r="47" spans="1:26" ht="14.4" x14ac:dyDescent="0.3">
      <c r="A47" s="49"/>
      <c r="J47" s="27"/>
    </row>
    <row r="48" spans="1:26" ht="14.4" x14ac:dyDescent="0.3">
      <c r="A48" s="49"/>
      <c r="J48" s="27"/>
    </row>
    <row r="49" spans="1:26" ht="14.4" x14ac:dyDescent="0.3">
      <c r="A49" s="49"/>
      <c r="J49" s="27"/>
    </row>
    <row r="50" spans="1:26" ht="14.4" x14ac:dyDescent="0.3">
      <c r="A50" s="44" t="s">
        <v>27</v>
      </c>
      <c r="B50" s="52">
        <f t="shared" ref="B50:P50" si="28">SUM(B51:B54)</f>
        <v>290.13</v>
      </c>
      <c r="C50" s="52">
        <f t="shared" si="28"/>
        <v>489.64</v>
      </c>
      <c r="D50" s="52">
        <f t="shared" si="28"/>
        <v>626.6</v>
      </c>
      <c r="E50" s="52">
        <f t="shared" si="28"/>
        <v>653.71</v>
      </c>
      <c r="F50" s="52">
        <f t="shared" si="28"/>
        <v>636.87</v>
      </c>
      <c r="G50" s="52">
        <f t="shared" si="28"/>
        <v>852.40000000000009</v>
      </c>
      <c r="H50" s="52">
        <f t="shared" si="28"/>
        <v>858.72</v>
      </c>
      <c r="I50" s="52">
        <f t="shared" si="28"/>
        <v>934.07</v>
      </c>
      <c r="J50" s="52">
        <f t="shared" si="28"/>
        <v>1041.1099999999999</v>
      </c>
      <c r="K50" s="52">
        <f t="shared" si="28"/>
        <v>1041.1099999999999</v>
      </c>
      <c r="L50" s="52">
        <f t="shared" si="28"/>
        <v>1041.1099999999999</v>
      </c>
      <c r="M50" s="52">
        <f t="shared" si="28"/>
        <v>1041.1099999999999</v>
      </c>
      <c r="N50" s="52">
        <f t="shared" si="28"/>
        <v>1041.1099999999999</v>
      </c>
      <c r="O50" s="52">
        <f t="shared" si="28"/>
        <v>1041.1099999999999</v>
      </c>
      <c r="P50" s="52">
        <f t="shared" si="28"/>
        <v>1041.1099999999999</v>
      </c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14.4" x14ac:dyDescent="0.3">
      <c r="A51" s="46" t="s">
        <v>28</v>
      </c>
      <c r="B51" s="27">
        <v>0</v>
      </c>
      <c r="C51" s="1">
        <v>0</v>
      </c>
      <c r="D51" s="1">
        <v>0</v>
      </c>
      <c r="E51" s="1">
        <v>0</v>
      </c>
      <c r="F51" s="47">
        <v>121.67</v>
      </c>
      <c r="G51" s="47">
        <v>129.81</v>
      </c>
      <c r="H51" s="47">
        <v>142.32</v>
      </c>
      <c r="I51" s="47">
        <v>134.29</v>
      </c>
      <c r="J51" s="27">
        <v>111.5</v>
      </c>
      <c r="K51" s="59">
        <f>J51</f>
        <v>111.5</v>
      </c>
      <c r="L51" s="59">
        <f t="shared" ref="L51:P51" si="29">K51</f>
        <v>111.5</v>
      </c>
      <c r="M51" s="59">
        <f t="shared" si="29"/>
        <v>111.5</v>
      </c>
      <c r="N51" s="59">
        <f t="shared" si="29"/>
        <v>111.5</v>
      </c>
      <c r="O51" s="59">
        <f t="shared" si="29"/>
        <v>111.5</v>
      </c>
      <c r="P51" s="59">
        <f t="shared" si="29"/>
        <v>111.5</v>
      </c>
    </row>
    <row r="52" spans="1:26" ht="14.4" x14ac:dyDescent="0.3">
      <c r="A52" s="46" t="s">
        <v>29</v>
      </c>
      <c r="B52" s="27">
        <v>0</v>
      </c>
      <c r="C52" s="1">
        <v>0</v>
      </c>
      <c r="D52" s="1">
        <v>0</v>
      </c>
      <c r="E52" s="1">
        <v>0</v>
      </c>
      <c r="F52" s="1">
        <v>0</v>
      </c>
      <c r="G52" s="47">
        <v>146.04</v>
      </c>
      <c r="H52" s="47">
        <v>155.04</v>
      </c>
      <c r="I52" s="47">
        <v>196.29</v>
      </c>
      <c r="J52" s="27">
        <v>178.13</v>
      </c>
      <c r="K52" s="59">
        <f t="shared" ref="K52:P54" si="30">J52</f>
        <v>178.13</v>
      </c>
      <c r="L52" s="59">
        <f t="shared" si="30"/>
        <v>178.13</v>
      </c>
      <c r="M52" s="59">
        <f t="shared" si="30"/>
        <v>178.13</v>
      </c>
      <c r="N52" s="59">
        <f t="shared" si="30"/>
        <v>178.13</v>
      </c>
      <c r="O52" s="59">
        <f t="shared" si="30"/>
        <v>178.13</v>
      </c>
      <c r="P52" s="59">
        <f t="shared" si="30"/>
        <v>178.13</v>
      </c>
    </row>
    <row r="53" spans="1:26" ht="14.4" x14ac:dyDescent="0.3">
      <c r="A53" s="46" t="s">
        <v>30</v>
      </c>
      <c r="B53" s="27">
        <v>67.599999999999994</v>
      </c>
      <c r="C53" s="47">
        <v>75.3</v>
      </c>
      <c r="D53" s="47">
        <v>114.94</v>
      </c>
      <c r="E53" s="47">
        <v>117.2</v>
      </c>
      <c r="F53" s="47">
        <v>122.37</v>
      </c>
      <c r="G53" s="47">
        <v>172.46</v>
      </c>
      <c r="H53" s="47">
        <v>178.07</v>
      </c>
      <c r="I53" s="47">
        <v>198.12</v>
      </c>
      <c r="J53" s="27">
        <v>316.66000000000003</v>
      </c>
      <c r="K53" s="59">
        <f t="shared" si="30"/>
        <v>316.66000000000003</v>
      </c>
      <c r="L53" s="59">
        <f t="shared" si="30"/>
        <v>316.66000000000003</v>
      </c>
      <c r="M53" s="59">
        <f t="shared" si="30"/>
        <v>316.66000000000003</v>
      </c>
      <c r="N53" s="59">
        <f t="shared" si="30"/>
        <v>316.66000000000003</v>
      </c>
      <c r="O53" s="59">
        <f t="shared" si="30"/>
        <v>316.66000000000003</v>
      </c>
      <c r="P53" s="59">
        <f t="shared" si="30"/>
        <v>316.66000000000003</v>
      </c>
    </row>
    <row r="54" spans="1:26" ht="14.4" x14ac:dyDescent="0.3">
      <c r="A54" s="46" t="s">
        <v>31</v>
      </c>
      <c r="B54" s="27">
        <v>222.53</v>
      </c>
      <c r="C54" s="47">
        <v>414.34</v>
      </c>
      <c r="D54" s="47">
        <v>511.66</v>
      </c>
      <c r="E54" s="47">
        <v>536.51</v>
      </c>
      <c r="F54" s="47">
        <v>392.83</v>
      </c>
      <c r="G54" s="47">
        <v>404.09</v>
      </c>
      <c r="H54" s="47">
        <v>383.29</v>
      </c>
      <c r="I54" s="47">
        <v>405.37</v>
      </c>
      <c r="J54" s="27">
        <v>434.82</v>
      </c>
      <c r="K54" s="59">
        <f t="shared" si="30"/>
        <v>434.82</v>
      </c>
      <c r="L54" s="59">
        <f t="shared" si="30"/>
        <v>434.82</v>
      </c>
      <c r="M54" s="59">
        <f t="shared" si="30"/>
        <v>434.82</v>
      </c>
      <c r="N54" s="59">
        <f t="shared" si="30"/>
        <v>434.82</v>
      </c>
      <c r="O54" s="59">
        <f t="shared" si="30"/>
        <v>434.82</v>
      </c>
      <c r="P54" s="59">
        <f t="shared" si="30"/>
        <v>434.82</v>
      </c>
    </row>
    <row r="55" spans="1:26" ht="14.4" x14ac:dyDescent="0.3">
      <c r="A55" s="49"/>
      <c r="J55" s="27"/>
    </row>
    <row r="56" spans="1:26" ht="14.4" x14ac:dyDescent="0.3">
      <c r="A56" s="39" t="s">
        <v>32</v>
      </c>
      <c r="B56" s="52">
        <f t="shared" ref="B56:P56" si="31">SUM(B58:B62)</f>
        <v>3448.3199999999997</v>
      </c>
      <c r="C56" s="52">
        <f t="shared" si="31"/>
        <v>4093.3300000000004</v>
      </c>
      <c r="D56" s="52">
        <f t="shared" si="31"/>
        <v>4343.3200000000006</v>
      </c>
      <c r="E56" s="52">
        <f t="shared" si="31"/>
        <v>4130.3600000000006</v>
      </c>
      <c r="F56" s="52">
        <f t="shared" si="31"/>
        <v>3976.0599999999995</v>
      </c>
      <c r="G56" s="52">
        <f t="shared" si="31"/>
        <v>6110.61</v>
      </c>
      <c r="H56" s="52">
        <f t="shared" si="31"/>
        <v>5072.38</v>
      </c>
      <c r="I56" s="52">
        <f t="shared" si="31"/>
        <v>5623.9800000000005</v>
      </c>
      <c r="J56" s="52">
        <f t="shared" si="31"/>
        <v>6544.26</v>
      </c>
      <c r="K56" s="52">
        <f t="shared" si="31"/>
        <v>8935.5168024846262</v>
      </c>
      <c r="L56" s="52">
        <f t="shared" si="31"/>
        <v>10890.558195578731</v>
      </c>
      <c r="M56" s="52">
        <f t="shared" si="31"/>
        <v>13281.659558585588</v>
      </c>
      <c r="N56" s="52">
        <f t="shared" si="31"/>
        <v>16207.37248532597</v>
      </c>
      <c r="O56" s="52">
        <f t="shared" si="31"/>
        <v>19788.718515231416</v>
      </c>
      <c r="P56" s="52">
        <f t="shared" si="31"/>
        <v>24174.341934715936</v>
      </c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14.4" x14ac:dyDescent="0.3">
      <c r="A57" s="46"/>
      <c r="J57" s="27"/>
    </row>
    <row r="58" spans="1:26" ht="14.4" x14ac:dyDescent="0.3">
      <c r="A58" s="46" t="s">
        <v>33</v>
      </c>
      <c r="B58" s="27"/>
      <c r="C58" s="1">
        <v>0</v>
      </c>
      <c r="D58" s="1">
        <v>0</v>
      </c>
      <c r="E58" s="1">
        <v>0</v>
      </c>
      <c r="F58" s="47">
        <v>28.29</v>
      </c>
      <c r="G58" s="47">
        <v>19.7</v>
      </c>
      <c r="H58" s="47">
        <v>25.75</v>
      </c>
      <c r="I58" s="47">
        <v>22.02</v>
      </c>
      <c r="J58" s="27">
        <v>26.08</v>
      </c>
      <c r="K58" s="30">
        <f>K164</f>
        <v>35.125390341591668</v>
      </c>
      <c r="L58" s="30">
        <f t="shared" ref="L58:P58" si="32">L164</f>
        <v>42.810630444022536</v>
      </c>
      <c r="M58" s="30">
        <f t="shared" si="32"/>
        <v>52.210016129087087</v>
      </c>
      <c r="N58" s="30">
        <f t="shared" si="32"/>
        <v>63.710952320110863</v>
      </c>
      <c r="O58" s="30">
        <f t="shared" si="32"/>
        <v>77.789172979240433</v>
      </c>
      <c r="P58" s="30">
        <f t="shared" si="32"/>
        <v>95.028996696855216</v>
      </c>
    </row>
    <row r="59" spans="1:26" ht="14.4" x14ac:dyDescent="0.3">
      <c r="A59" s="46" t="s">
        <v>34</v>
      </c>
      <c r="B59" s="27">
        <v>2650.56</v>
      </c>
      <c r="C59" s="30">
        <v>3247.27</v>
      </c>
      <c r="D59" s="30">
        <v>3318.81</v>
      </c>
      <c r="E59" s="30">
        <v>3355.28</v>
      </c>
      <c r="F59" s="30">
        <f>8.33+3022.18</f>
        <v>3030.5099999999998</v>
      </c>
      <c r="G59" s="30">
        <v>5205</v>
      </c>
      <c r="H59" s="30">
        <f>25.55+4234.79</f>
        <v>4260.34</v>
      </c>
      <c r="I59" s="30">
        <f>4703.31+1.15</f>
        <v>4704.46</v>
      </c>
      <c r="J59" s="27">
        <f>15.79+5512.36</f>
        <v>5528.15</v>
      </c>
      <c r="K59" s="30">
        <f>K165</f>
        <v>7566.986879938815</v>
      </c>
      <c r="L59" s="30">
        <f t="shared" ref="L59:P59" si="33">L165</f>
        <v>9222.6015352844151</v>
      </c>
      <c r="M59" s="30">
        <f t="shared" si="33"/>
        <v>11247.490866525517</v>
      </c>
      <c r="N59" s="30">
        <f t="shared" si="33"/>
        <v>13725.112678501282</v>
      </c>
      <c r="O59" s="30">
        <f t="shared" si="33"/>
        <v>16757.95330986577</v>
      </c>
      <c r="P59" s="30">
        <f t="shared" si="33"/>
        <v>20471.891250910663</v>
      </c>
    </row>
    <row r="60" spans="1:26" ht="14.4" x14ac:dyDescent="0.3">
      <c r="A60" s="46" t="s">
        <v>35</v>
      </c>
      <c r="B60" s="27">
        <v>502.4</v>
      </c>
      <c r="C60" s="47">
        <v>454.28</v>
      </c>
      <c r="D60" s="47">
        <v>762.58</v>
      </c>
      <c r="E60" s="47">
        <v>495.18</v>
      </c>
      <c r="F60" s="47">
        <v>518.26</v>
      </c>
      <c r="G60" s="47">
        <v>566.01</v>
      </c>
      <c r="H60" s="47">
        <v>492.12</v>
      </c>
      <c r="I60" s="47">
        <v>557.84</v>
      </c>
      <c r="J60" s="27">
        <v>585.6</v>
      </c>
      <c r="K60" s="30">
        <f>K166</f>
        <v>788.70508374371491</v>
      </c>
      <c r="L60" s="30">
        <f t="shared" ref="L60:P60" si="34">L166</f>
        <v>961.26937070627298</v>
      </c>
      <c r="M60" s="30">
        <f t="shared" si="34"/>
        <v>1172.3230615488267</v>
      </c>
      <c r="N60" s="30">
        <f t="shared" si="34"/>
        <v>1430.5649416662932</v>
      </c>
      <c r="O60" s="30">
        <f t="shared" si="34"/>
        <v>1746.6771356074846</v>
      </c>
      <c r="P60" s="30">
        <f t="shared" si="34"/>
        <v>2133.7799258312275</v>
      </c>
    </row>
    <row r="61" spans="1:26" ht="14.4" x14ac:dyDescent="0.3">
      <c r="A61" s="46" t="s">
        <v>36</v>
      </c>
      <c r="B61" s="27">
        <v>29.66</v>
      </c>
      <c r="C61" s="47">
        <v>39.01</v>
      </c>
      <c r="D61" s="47">
        <v>59.79</v>
      </c>
      <c r="E61" s="47">
        <v>59.03</v>
      </c>
      <c r="F61" s="47">
        <v>146.56</v>
      </c>
      <c r="G61" s="47">
        <v>160.37</v>
      </c>
      <c r="H61" s="47">
        <v>160.41999999999999</v>
      </c>
      <c r="I61" s="47">
        <v>175.69</v>
      </c>
      <c r="J61" s="27">
        <v>154.13999999999999</v>
      </c>
      <c r="K61" s="30">
        <f>K167</f>
        <v>207.60075411245936</v>
      </c>
      <c r="L61" s="30">
        <f t="shared" ref="L61:P61" si="35">L167</f>
        <v>253.02264480987859</v>
      </c>
      <c r="M61" s="30">
        <f t="shared" si="35"/>
        <v>308.5756091310385</v>
      </c>
      <c r="N61" s="30">
        <f t="shared" si="35"/>
        <v>376.54931712507243</v>
      </c>
      <c r="O61" s="30">
        <f t="shared" si="35"/>
        <v>459.75548784586346</v>
      </c>
      <c r="P61" s="30">
        <f t="shared" si="35"/>
        <v>561.64760547750234</v>
      </c>
    </row>
    <row r="62" spans="1:26" ht="14.4" x14ac:dyDescent="0.3">
      <c r="A62" s="46" t="s">
        <v>37</v>
      </c>
      <c r="B62" s="27">
        <v>265.7</v>
      </c>
      <c r="C62" s="47">
        <v>352.77</v>
      </c>
      <c r="D62" s="47">
        <v>202.14</v>
      </c>
      <c r="E62" s="47">
        <v>220.87</v>
      </c>
      <c r="F62" s="47">
        <v>252.44</v>
      </c>
      <c r="G62" s="47">
        <v>159.53</v>
      </c>
      <c r="H62" s="47">
        <v>133.75</v>
      </c>
      <c r="I62" s="47">
        <v>163.97</v>
      </c>
      <c r="J62" s="27">
        <v>250.29</v>
      </c>
      <c r="K62" s="30">
        <f>K168</f>
        <v>337.09869434804369</v>
      </c>
      <c r="L62" s="30">
        <f t="shared" ref="L62:P62" si="36">L168</f>
        <v>410.85401433414114</v>
      </c>
      <c r="M62" s="30">
        <f t="shared" si="36"/>
        <v>501.06000525111989</v>
      </c>
      <c r="N62" s="30">
        <f t="shared" si="36"/>
        <v>611.43459571321125</v>
      </c>
      <c r="O62" s="30">
        <f t="shared" si="36"/>
        <v>746.5434089330555</v>
      </c>
      <c r="P62" s="30">
        <f t="shared" si="36"/>
        <v>911.99415579968911</v>
      </c>
    </row>
    <row r="63" spans="1:26" ht="14.4" x14ac:dyDescent="0.3">
      <c r="A63" s="50" t="s">
        <v>38</v>
      </c>
      <c r="B63" s="52">
        <f t="shared" ref="B63:P63" si="37">SUM(B45,B50,B56)</f>
        <v>12572.859999999999</v>
      </c>
      <c r="C63" s="52">
        <f t="shared" si="37"/>
        <v>14693.97</v>
      </c>
      <c r="D63" s="52">
        <f t="shared" si="37"/>
        <v>16738.920000000002</v>
      </c>
      <c r="E63" s="52">
        <f t="shared" si="37"/>
        <v>17641.07</v>
      </c>
      <c r="F63" s="52">
        <f t="shared" si="37"/>
        <v>18748.93</v>
      </c>
      <c r="G63" s="52">
        <f t="shared" si="37"/>
        <v>22161.01</v>
      </c>
      <c r="H63" s="52">
        <f t="shared" si="37"/>
        <v>21714.100000000002</v>
      </c>
      <c r="I63" s="52">
        <f t="shared" si="37"/>
        <v>23263.05</v>
      </c>
      <c r="J63" s="52">
        <f t="shared" si="37"/>
        <v>25571.550000000003</v>
      </c>
      <c r="K63" s="52">
        <f t="shared" si="37"/>
        <v>32108.726360546316</v>
      </c>
      <c r="L63" s="52">
        <f t="shared" si="37"/>
        <v>39111.390874182267</v>
      </c>
      <c r="M63" s="52">
        <f t="shared" si="37"/>
        <v>47662.580471199653</v>
      </c>
      <c r="N63" s="52">
        <f t="shared" si="37"/>
        <v>58119.216873133832</v>
      </c>
      <c r="O63" s="52">
        <f t="shared" si="37"/>
        <v>70919.179727414798</v>
      </c>
      <c r="P63" s="52">
        <f t="shared" si="37"/>
        <v>86599.809087552043</v>
      </c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14.4" x14ac:dyDescent="0.3">
      <c r="A64" s="49"/>
      <c r="J64" s="27"/>
    </row>
    <row r="65" spans="1:26" ht="14.4" x14ac:dyDescent="0.3">
      <c r="A65" s="49"/>
      <c r="J65" s="27"/>
    </row>
    <row r="66" spans="1:26" ht="14.4" x14ac:dyDescent="0.3">
      <c r="A66" s="44" t="s">
        <v>39</v>
      </c>
      <c r="J66" s="27"/>
    </row>
    <row r="67" spans="1:26" ht="14.4" x14ac:dyDescent="0.3">
      <c r="A67" s="49"/>
      <c r="J67" s="27"/>
    </row>
    <row r="68" spans="1:26" ht="14.4" x14ac:dyDescent="0.3">
      <c r="A68" s="39" t="s">
        <v>40</v>
      </c>
      <c r="B68" s="52">
        <f t="shared" ref="B68:P68" si="38">SUM(B69:B79)</f>
        <v>6421.6399999999994</v>
      </c>
      <c r="C68" s="52">
        <f t="shared" si="38"/>
        <v>7241.079999999999</v>
      </c>
      <c r="D68" s="52">
        <f t="shared" si="38"/>
        <v>7890.62</v>
      </c>
      <c r="E68" s="52">
        <f t="shared" si="38"/>
        <v>9525.5499999999993</v>
      </c>
      <c r="F68" s="52">
        <f t="shared" si="38"/>
        <v>10460.77</v>
      </c>
      <c r="G68" s="52">
        <f t="shared" si="38"/>
        <v>11208.26</v>
      </c>
      <c r="H68" s="52">
        <f t="shared" si="38"/>
        <v>11599.060000000001</v>
      </c>
      <c r="I68" s="52">
        <f t="shared" si="38"/>
        <v>14226.349999999999</v>
      </c>
      <c r="J68" s="52">
        <f t="shared" si="38"/>
        <v>15775.529999999999</v>
      </c>
      <c r="K68" s="52">
        <f t="shared" si="38"/>
        <v>16253.84</v>
      </c>
      <c r="L68" s="52">
        <f t="shared" si="38"/>
        <v>16752.240000000002</v>
      </c>
      <c r="M68" s="52">
        <f t="shared" si="38"/>
        <v>17250.640000000003</v>
      </c>
      <c r="N68" s="52">
        <f t="shared" si="38"/>
        <v>17749.04</v>
      </c>
      <c r="O68" s="52">
        <f t="shared" si="38"/>
        <v>18247.440000000002</v>
      </c>
      <c r="P68" s="52">
        <f t="shared" si="38"/>
        <v>18745.840000000004</v>
      </c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14.4" x14ac:dyDescent="0.3">
      <c r="A69" s="60" t="s">
        <v>92</v>
      </c>
      <c r="B69" s="27">
        <v>3465.46</v>
      </c>
      <c r="C69" s="30">
        <v>4310.7299999999996</v>
      </c>
      <c r="D69" s="30">
        <v>4485.8900000000003</v>
      </c>
      <c r="E69" s="30">
        <v>4477.53</v>
      </c>
      <c r="F69" s="30">
        <v>5562.42</v>
      </c>
      <c r="G69" s="30">
        <v>5293.4</v>
      </c>
      <c r="H69" s="30">
        <v>5094.3900000000003</v>
      </c>
      <c r="I69" s="30">
        <v>4868.2</v>
      </c>
      <c r="J69" s="27">
        <v>4933.87</v>
      </c>
      <c r="K69" s="30">
        <f>SUM(J69:J73,K202)-K204</f>
        <v>6792.8499999999995</v>
      </c>
      <c r="L69" s="30">
        <f t="shared" ref="L69:P69" si="39">SUM(K69:K73,L202)-L204</f>
        <v>7291.2499999999991</v>
      </c>
      <c r="M69" s="30">
        <f t="shared" si="39"/>
        <v>7789.6499999999987</v>
      </c>
      <c r="N69" s="30">
        <f t="shared" si="39"/>
        <v>8288.0499999999993</v>
      </c>
      <c r="O69" s="30">
        <f t="shared" si="39"/>
        <v>8786.4499999999989</v>
      </c>
      <c r="P69" s="30">
        <f t="shared" si="39"/>
        <v>9284.8499999999985</v>
      </c>
    </row>
    <row r="70" spans="1:26" ht="14.4" x14ac:dyDescent="0.3">
      <c r="A70" s="60" t="s">
        <v>41</v>
      </c>
      <c r="B70" s="27">
        <v>118.89</v>
      </c>
      <c r="C70" s="30">
        <v>84.86</v>
      </c>
      <c r="D70" s="30">
        <v>168.65</v>
      </c>
      <c r="E70" s="30">
        <v>141.05000000000001</v>
      </c>
      <c r="F70" s="30">
        <v>140.09</v>
      </c>
      <c r="G70" s="30">
        <v>290.26</v>
      </c>
      <c r="H70" s="30">
        <v>298.5</v>
      </c>
      <c r="I70" s="30">
        <v>500.19</v>
      </c>
      <c r="J70" s="30">
        <v>528.54999999999995</v>
      </c>
      <c r="K70" s="61"/>
      <c r="L70" s="61"/>
      <c r="M70" s="61"/>
      <c r="N70" s="61"/>
      <c r="O70" s="61"/>
      <c r="P70" s="61"/>
    </row>
    <row r="71" spans="1:26" ht="14.4" x14ac:dyDescent="0.3">
      <c r="A71" s="60" t="s">
        <v>42</v>
      </c>
      <c r="B71" s="27"/>
      <c r="C71" s="30">
        <v>0</v>
      </c>
      <c r="D71" s="30">
        <v>0</v>
      </c>
      <c r="E71" s="30">
        <v>0</v>
      </c>
      <c r="F71" s="30">
        <v>414.57</v>
      </c>
      <c r="G71" s="30">
        <v>404.75</v>
      </c>
      <c r="H71" s="30">
        <v>413.59</v>
      </c>
      <c r="I71" s="30">
        <v>393.03</v>
      </c>
      <c r="J71" s="30">
        <v>371.61</v>
      </c>
      <c r="K71" s="61"/>
      <c r="L71" s="61"/>
      <c r="M71" s="61"/>
      <c r="N71" s="61"/>
      <c r="O71" s="61"/>
      <c r="P71" s="61"/>
    </row>
    <row r="72" spans="1:26" ht="14.4" x14ac:dyDescent="0.3">
      <c r="A72" s="60" t="s">
        <v>43</v>
      </c>
      <c r="B72" s="27">
        <v>288.33999999999997</v>
      </c>
      <c r="C72" s="30">
        <v>270.72000000000003</v>
      </c>
      <c r="D72" s="30">
        <v>203.78</v>
      </c>
      <c r="E72" s="30">
        <v>360.67</v>
      </c>
      <c r="F72" s="30">
        <v>160.25</v>
      </c>
      <c r="G72" s="30">
        <v>177.86</v>
      </c>
      <c r="H72" s="30">
        <v>87.32</v>
      </c>
      <c r="I72" s="30">
        <v>128.55000000000001</v>
      </c>
      <c r="J72" s="30">
        <v>120.58</v>
      </c>
      <c r="K72" s="61"/>
      <c r="L72" s="61"/>
      <c r="M72" s="61"/>
      <c r="N72" s="61"/>
      <c r="O72" s="61"/>
      <c r="P72" s="61"/>
    </row>
    <row r="73" spans="1:26" ht="14.4" x14ac:dyDescent="0.3">
      <c r="A73" s="60" t="s">
        <v>44</v>
      </c>
      <c r="B73" s="27">
        <v>317.06</v>
      </c>
      <c r="C73" s="30">
        <v>194.33</v>
      </c>
      <c r="D73" s="30">
        <v>114.61</v>
      </c>
      <c r="E73" s="30">
        <v>181.19</v>
      </c>
      <c r="F73" s="30">
        <v>181.02</v>
      </c>
      <c r="G73" s="30">
        <v>258.73</v>
      </c>
      <c r="H73" s="30">
        <v>370.88</v>
      </c>
      <c r="I73" s="30">
        <v>335.24</v>
      </c>
      <c r="J73" s="30">
        <v>359.93</v>
      </c>
      <c r="K73" s="61"/>
      <c r="L73" s="61"/>
      <c r="M73" s="61"/>
      <c r="N73" s="61"/>
      <c r="O73" s="61"/>
      <c r="P73" s="61"/>
    </row>
    <row r="74" spans="1:26" ht="14.4" x14ac:dyDescent="0.3">
      <c r="A74" s="46"/>
      <c r="B74" s="27"/>
      <c r="C74" s="30"/>
      <c r="D74" s="30"/>
      <c r="E74" s="30"/>
      <c r="F74" s="30"/>
      <c r="G74" s="30"/>
      <c r="H74" s="30"/>
      <c r="I74" s="30"/>
      <c r="J74" s="30"/>
    </row>
    <row r="75" spans="1:26" ht="14.4" x14ac:dyDescent="0.3">
      <c r="A75" s="46" t="s">
        <v>45</v>
      </c>
      <c r="B75" s="27">
        <v>1111.9100000000001</v>
      </c>
      <c r="C75" s="30">
        <v>1349</v>
      </c>
      <c r="D75" s="30">
        <v>1934.08</v>
      </c>
      <c r="E75" s="30">
        <v>2801.51</v>
      </c>
      <c r="F75" s="30">
        <v>3528.17</v>
      </c>
      <c r="G75" s="30">
        <v>4308.18</v>
      </c>
      <c r="H75" s="30">
        <v>4814.66</v>
      </c>
      <c r="I75" s="30">
        <v>7372.48</v>
      </c>
      <c r="J75" s="30">
        <v>8811.58</v>
      </c>
      <c r="K75" s="62">
        <f>J75</f>
        <v>8811.58</v>
      </c>
      <c r="L75" s="62">
        <f t="shared" ref="L75:P75" si="40">K75</f>
        <v>8811.58</v>
      </c>
      <c r="M75" s="62">
        <f t="shared" si="40"/>
        <v>8811.58</v>
      </c>
      <c r="N75" s="62">
        <f t="shared" si="40"/>
        <v>8811.58</v>
      </c>
      <c r="O75" s="62">
        <f t="shared" si="40"/>
        <v>8811.58</v>
      </c>
      <c r="P75" s="62">
        <f t="shared" si="40"/>
        <v>8811.58</v>
      </c>
    </row>
    <row r="76" spans="1:26" ht="14.4" x14ac:dyDescent="0.3">
      <c r="A76" s="46" t="s">
        <v>46</v>
      </c>
      <c r="B76" s="27">
        <v>23.2</v>
      </c>
      <c r="C76" s="30">
        <v>0</v>
      </c>
      <c r="D76" s="30">
        <v>0</v>
      </c>
      <c r="E76" s="30">
        <v>0</v>
      </c>
      <c r="F76" s="30">
        <v>0</v>
      </c>
      <c r="G76" s="30">
        <v>35.5</v>
      </c>
      <c r="H76" s="30">
        <v>41.6</v>
      </c>
      <c r="I76" s="30">
        <v>205.65</v>
      </c>
      <c r="J76" s="30">
        <v>188.87</v>
      </c>
      <c r="K76" s="62">
        <f t="shared" ref="K76:P76" si="41">J76</f>
        <v>188.87</v>
      </c>
      <c r="L76" s="62">
        <f t="shared" si="41"/>
        <v>188.87</v>
      </c>
      <c r="M76" s="62">
        <f t="shared" si="41"/>
        <v>188.87</v>
      </c>
      <c r="N76" s="62">
        <f t="shared" si="41"/>
        <v>188.87</v>
      </c>
      <c r="O76" s="62">
        <f t="shared" si="41"/>
        <v>188.87</v>
      </c>
      <c r="P76" s="62">
        <f t="shared" si="41"/>
        <v>188.87</v>
      </c>
    </row>
    <row r="77" spans="1:26" ht="14.4" x14ac:dyDescent="0.3">
      <c r="A77" s="46" t="s">
        <v>47</v>
      </c>
      <c r="B77" s="27">
        <v>26.7</v>
      </c>
      <c r="C77" s="30">
        <v>48.36</v>
      </c>
      <c r="D77" s="30">
        <v>45.68</v>
      </c>
      <c r="E77" s="30">
        <v>59.96</v>
      </c>
      <c r="F77" s="30">
        <v>67.27</v>
      </c>
      <c r="G77" s="30">
        <v>16.73</v>
      </c>
      <c r="H77" s="30">
        <v>17.43</v>
      </c>
      <c r="I77" s="30">
        <v>19.87</v>
      </c>
      <c r="J77" s="30">
        <v>21.15</v>
      </c>
      <c r="K77" s="62">
        <f t="shared" ref="K77:P77" si="42">J77</f>
        <v>21.15</v>
      </c>
      <c r="L77" s="62">
        <f t="shared" si="42"/>
        <v>21.15</v>
      </c>
      <c r="M77" s="62">
        <f t="shared" si="42"/>
        <v>21.15</v>
      </c>
      <c r="N77" s="62">
        <f t="shared" si="42"/>
        <v>21.15</v>
      </c>
      <c r="O77" s="62">
        <f t="shared" si="42"/>
        <v>21.15</v>
      </c>
      <c r="P77" s="62">
        <f t="shared" si="42"/>
        <v>21.15</v>
      </c>
    </row>
    <row r="78" spans="1:26" ht="14.4" x14ac:dyDescent="0.3">
      <c r="A78" s="46" t="s">
        <v>48</v>
      </c>
      <c r="B78" s="27">
        <v>842.54</v>
      </c>
      <c r="C78" s="30">
        <v>651.14</v>
      </c>
      <c r="D78" s="30">
        <v>558.66999999999996</v>
      </c>
      <c r="E78" s="30">
        <v>664.38</v>
      </c>
      <c r="F78" s="30">
        <v>96.85</v>
      </c>
      <c r="G78" s="30">
        <v>54.66</v>
      </c>
      <c r="H78" s="30">
        <v>119.77</v>
      </c>
      <c r="I78" s="30">
        <v>151.41999999999999</v>
      </c>
      <c r="J78" s="30">
        <v>126.9</v>
      </c>
      <c r="K78" s="62">
        <f t="shared" ref="K78:P78" si="43">J78</f>
        <v>126.9</v>
      </c>
      <c r="L78" s="62">
        <f t="shared" si="43"/>
        <v>126.9</v>
      </c>
      <c r="M78" s="62">
        <f t="shared" si="43"/>
        <v>126.9</v>
      </c>
      <c r="N78" s="62">
        <f t="shared" si="43"/>
        <v>126.9</v>
      </c>
      <c r="O78" s="62">
        <f t="shared" si="43"/>
        <v>126.9</v>
      </c>
      <c r="P78" s="62">
        <f t="shared" si="43"/>
        <v>126.9</v>
      </c>
    </row>
    <row r="79" spans="1:26" ht="14.4" x14ac:dyDescent="0.3">
      <c r="A79" s="46" t="s">
        <v>49</v>
      </c>
      <c r="B79" s="27">
        <v>227.54</v>
      </c>
      <c r="C79" s="30">
        <v>331.94</v>
      </c>
      <c r="D79" s="30">
        <v>379.26</v>
      </c>
      <c r="E79" s="30">
        <v>839.26</v>
      </c>
      <c r="F79" s="30">
        <v>310.13</v>
      </c>
      <c r="G79" s="30">
        <v>368.19</v>
      </c>
      <c r="H79" s="30">
        <v>340.92</v>
      </c>
      <c r="I79" s="30">
        <v>251.72</v>
      </c>
      <c r="J79" s="30">
        <v>312.49</v>
      </c>
      <c r="K79" s="62">
        <f t="shared" ref="K79:P79" si="44">J79</f>
        <v>312.49</v>
      </c>
      <c r="L79" s="62">
        <f t="shared" si="44"/>
        <v>312.49</v>
      </c>
      <c r="M79" s="62">
        <f t="shared" si="44"/>
        <v>312.49</v>
      </c>
      <c r="N79" s="62">
        <f t="shared" si="44"/>
        <v>312.49</v>
      </c>
      <c r="O79" s="62">
        <f t="shared" si="44"/>
        <v>312.49</v>
      </c>
      <c r="P79" s="62">
        <f t="shared" si="44"/>
        <v>312.49</v>
      </c>
    </row>
    <row r="80" spans="1:26" ht="14.4" x14ac:dyDescent="0.3">
      <c r="A80" s="46"/>
      <c r="J80" s="27"/>
    </row>
    <row r="81" spans="1:26" ht="14.4" x14ac:dyDescent="0.3">
      <c r="A81" s="39" t="s">
        <v>50</v>
      </c>
      <c r="B81" s="52">
        <f t="shared" ref="B81:P81" si="45">SUM(B83:B90)</f>
        <v>6151.22</v>
      </c>
      <c r="C81" s="52">
        <f t="shared" si="45"/>
        <v>7453.1799999999994</v>
      </c>
      <c r="D81" s="52">
        <f t="shared" si="45"/>
        <v>8848.1800000000021</v>
      </c>
      <c r="E81" s="52">
        <f t="shared" si="45"/>
        <v>8115.64</v>
      </c>
      <c r="F81" s="52">
        <f t="shared" si="45"/>
        <v>8288.56</v>
      </c>
      <c r="G81" s="52">
        <f t="shared" si="45"/>
        <v>10952.79</v>
      </c>
      <c r="H81" s="52">
        <f t="shared" si="45"/>
        <v>10114.959999999999</v>
      </c>
      <c r="I81" s="52">
        <f t="shared" si="45"/>
        <v>9036.7899999999991</v>
      </c>
      <c r="J81" s="52">
        <f t="shared" si="45"/>
        <v>9796.0200000000023</v>
      </c>
      <c r="K81" s="52">
        <f t="shared" si="45"/>
        <v>15854.866360546312</v>
      </c>
      <c r="L81" s="52">
        <f t="shared" si="45"/>
        <v>22359.130874182272</v>
      </c>
      <c r="M81" s="52">
        <f t="shared" si="45"/>
        <v>30411.920471199657</v>
      </c>
      <c r="N81" s="52">
        <f t="shared" si="45"/>
        <v>40370.156873133834</v>
      </c>
      <c r="O81" s="52">
        <f t="shared" si="45"/>
        <v>52671.719727414806</v>
      </c>
      <c r="P81" s="52">
        <f t="shared" si="45"/>
        <v>67853.949087552042</v>
      </c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4.4" x14ac:dyDescent="0.3">
      <c r="A82" s="46"/>
      <c r="J82" s="27"/>
    </row>
    <row r="83" spans="1:26" ht="14.4" x14ac:dyDescent="0.3">
      <c r="A83" s="60" t="s">
        <v>51</v>
      </c>
      <c r="B83" s="27">
        <v>672.98</v>
      </c>
      <c r="C83" s="27">
        <v>656.31</v>
      </c>
      <c r="D83" s="27">
        <v>823.58</v>
      </c>
      <c r="E83" s="27">
        <v>1072.3699999999999</v>
      </c>
      <c r="F83" s="27">
        <v>1091.97</v>
      </c>
      <c r="G83" s="30">
        <v>1469.55</v>
      </c>
      <c r="H83" s="30">
        <v>1122.6500000000001</v>
      </c>
      <c r="I83" s="30">
        <v>1434.09</v>
      </c>
      <c r="J83" s="27">
        <v>1443.76</v>
      </c>
      <c r="K83" s="30">
        <f>K155</f>
        <v>2017.8631679836842</v>
      </c>
      <c r="L83" s="30">
        <f t="shared" ref="L83:P83" si="46">L155</f>
        <v>2459.3604094091779</v>
      </c>
      <c r="M83" s="30">
        <f t="shared" si="46"/>
        <v>2999.330897740138</v>
      </c>
      <c r="N83" s="30">
        <f t="shared" si="46"/>
        <v>3660.0300476003422</v>
      </c>
      <c r="O83" s="30">
        <f t="shared" si="46"/>
        <v>4468.787549297539</v>
      </c>
      <c r="P83" s="30">
        <f t="shared" si="46"/>
        <v>5459.1710002428435</v>
      </c>
    </row>
    <row r="84" spans="1:26" ht="14.4" x14ac:dyDescent="0.3">
      <c r="A84" s="60" t="s">
        <v>52</v>
      </c>
      <c r="B84" s="27">
        <v>1282.8</v>
      </c>
      <c r="C84" s="27">
        <v>1561.87</v>
      </c>
      <c r="D84" s="27">
        <v>1520.18</v>
      </c>
      <c r="E84" s="27">
        <v>2821.57</v>
      </c>
      <c r="F84" s="27">
        <v>1603.14</v>
      </c>
      <c r="G84" s="30">
        <v>2426.7600000000002</v>
      </c>
      <c r="H84" s="30">
        <v>2304.27</v>
      </c>
      <c r="I84" s="30">
        <v>2798.21</v>
      </c>
      <c r="J84" s="27">
        <v>2703.44</v>
      </c>
      <c r="K84" s="30">
        <f>K156</f>
        <v>4035.7263359673684</v>
      </c>
      <c r="L84" s="30">
        <f t="shared" ref="L84:P84" si="47">L156</f>
        <v>4918.7208188183558</v>
      </c>
      <c r="M84" s="30">
        <f t="shared" si="47"/>
        <v>5998.6617954802759</v>
      </c>
      <c r="N84" s="30">
        <f t="shared" si="47"/>
        <v>7320.0600952006844</v>
      </c>
      <c r="O84" s="30">
        <f t="shared" si="47"/>
        <v>8937.5750985950781</v>
      </c>
      <c r="P84" s="30">
        <f t="shared" si="47"/>
        <v>10918.342000485687</v>
      </c>
    </row>
    <row r="85" spans="1:26" ht="14.4" x14ac:dyDescent="0.3">
      <c r="A85" s="60" t="s">
        <v>53</v>
      </c>
      <c r="B85" s="27">
        <f>26.95+104.41</f>
        <v>131.35999999999999</v>
      </c>
      <c r="C85" s="27">
        <f>15.4+121.33</f>
        <v>136.72999999999999</v>
      </c>
      <c r="D85" s="27">
        <f>34.38+106.96</f>
        <v>141.34</v>
      </c>
      <c r="E85" s="27">
        <f>40.68+95.78</f>
        <v>136.46</v>
      </c>
      <c r="F85" s="27">
        <f>147.91+93.95</f>
        <v>241.86</v>
      </c>
      <c r="G85" s="47">
        <f>169.22+87.93</f>
        <v>257.14999999999998</v>
      </c>
      <c r="H85" s="47">
        <f>98.68+76.44</f>
        <v>175.12</v>
      </c>
      <c r="I85" s="47">
        <f>168.37+177.13</f>
        <v>345.5</v>
      </c>
      <c r="J85" s="27">
        <f>539.89+69.04</f>
        <v>608.92999999999995</v>
      </c>
      <c r="K85" s="30">
        <f>K218</f>
        <v>2780.7084413274229</v>
      </c>
      <c r="L85" s="30">
        <f t="shared" ref="L85:P85" si="48">L218</f>
        <v>6439.2036370805481</v>
      </c>
      <c r="M85" s="30">
        <f t="shared" si="48"/>
        <v>10976.490367166774</v>
      </c>
      <c r="N85" s="30">
        <f t="shared" si="48"/>
        <v>16620.821269303415</v>
      </c>
      <c r="O85" s="30">
        <f t="shared" si="48"/>
        <v>23631.048713492066</v>
      </c>
      <c r="P85" s="30">
        <f t="shared" si="48"/>
        <v>32456.987007130789</v>
      </c>
    </row>
    <row r="86" spans="1:26" ht="14.4" x14ac:dyDescent="0.3">
      <c r="A86" s="60" t="s">
        <v>54</v>
      </c>
      <c r="B86" s="27">
        <v>23.12</v>
      </c>
      <c r="C86" s="27">
        <v>24.18</v>
      </c>
      <c r="D86" s="27">
        <v>27.56</v>
      </c>
      <c r="E86" s="27">
        <v>25.03</v>
      </c>
      <c r="F86" s="27">
        <v>22.36</v>
      </c>
      <c r="G86" s="47">
        <v>22.95</v>
      </c>
      <c r="H86" s="47">
        <v>22.81</v>
      </c>
      <c r="I86" s="47">
        <v>23.71</v>
      </c>
      <c r="J86" s="27">
        <v>24.56</v>
      </c>
      <c r="K86" s="30">
        <f>K157</f>
        <v>33.078205014934483</v>
      </c>
      <c r="L86" s="30">
        <f t="shared" ref="L86:P86" si="49">L157</f>
        <v>40.315532350659254</v>
      </c>
      <c r="M86" s="30">
        <f t="shared" si="49"/>
        <v>49.167101078618821</v>
      </c>
      <c r="N86" s="30">
        <f t="shared" si="49"/>
        <v>59.997737307589063</v>
      </c>
      <c r="O86" s="30">
        <f t="shared" si="49"/>
        <v>73.255448173701865</v>
      </c>
      <c r="P86" s="30">
        <f t="shared" si="49"/>
        <v>89.49049688936978</v>
      </c>
    </row>
    <row r="87" spans="1:26" ht="14.4" x14ac:dyDescent="0.3">
      <c r="A87" s="60" t="s">
        <v>55</v>
      </c>
      <c r="B87" s="27">
        <v>549.57000000000005</v>
      </c>
      <c r="C87" s="27">
        <v>388.29</v>
      </c>
      <c r="D87" s="27">
        <v>205.03</v>
      </c>
      <c r="E87" s="27">
        <v>239.22</v>
      </c>
      <c r="F87" s="27">
        <v>280.14</v>
      </c>
      <c r="G87" s="47">
        <v>213.37</v>
      </c>
      <c r="H87" s="47">
        <v>197.65</v>
      </c>
      <c r="I87" s="47">
        <v>235.07</v>
      </c>
      <c r="J87" s="63">
        <v>457.3</v>
      </c>
      <c r="K87" s="30">
        <f>K158</f>
        <v>429.434914305929</v>
      </c>
      <c r="L87" s="30">
        <f t="shared" ref="L87:P87" si="50">L158</f>
        <v>508.60914594370206</v>
      </c>
      <c r="M87" s="30">
        <f t="shared" si="50"/>
        <v>640.44489207839752</v>
      </c>
      <c r="N87" s="30">
        <f t="shared" si="50"/>
        <v>814.15006902069422</v>
      </c>
      <c r="O87" s="30">
        <f t="shared" si="50"/>
        <v>1037.4933826394094</v>
      </c>
      <c r="P87" s="30">
        <f t="shared" si="50"/>
        <v>1187.6528320141235</v>
      </c>
    </row>
    <row r="88" spans="1:26" ht="14.4" x14ac:dyDescent="0.3">
      <c r="A88" s="60" t="s">
        <v>56</v>
      </c>
      <c r="B88" s="27">
        <v>0</v>
      </c>
      <c r="C88" s="27">
        <v>0</v>
      </c>
      <c r="D88" s="27">
        <v>0</v>
      </c>
      <c r="E88" s="27">
        <v>0</v>
      </c>
      <c r="F88" s="27">
        <v>0</v>
      </c>
      <c r="G88" s="47">
        <v>0</v>
      </c>
      <c r="H88" s="47">
        <v>0</v>
      </c>
      <c r="I88" s="47">
        <v>0</v>
      </c>
      <c r="J88" s="27">
        <v>0</v>
      </c>
      <c r="K88" s="30">
        <f>K159</f>
        <v>0</v>
      </c>
      <c r="L88" s="30">
        <f t="shared" ref="L88:P88" si="51">L159</f>
        <v>0</v>
      </c>
      <c r="M88" s="30">
        <f t="shared" si="51"/>
        <v>0</v>
      </c>
      <c r="N88" s="30">
        <f t="shared" si="51"/>
        <v>0</v>
      </c>
      <c r="O88" s="30">
        <f t="shared" si="51"/>
        <v>0</v>
      </c>
      <c r="P88" s="30">
        <f t="shared" si="51"/>
        <v>0</v>
      </c>
    </row>
    <row r="89" spans="1:26" ht="14.4" x14ac:dyDescent="0.3">
      <c r="A89" s="60" t="s">
        <v>57</v>
      </c>
      <c r="B89" s="27">
        <v>3469.11</v>
      </c>
      <c r="C89" s="27">
        <v>4540.8500000000004</v>
      </c>
      <c r="D89" s="27">
        <v>5591.12</v>
      </c>
      <c r="E89" s="27">
        <v>3167.1</v>
      </c>
      <c r="F89" s="27">
        <v>4694.4799999999996</v>
      </c>
      <c r="G89" s="30">
        <v>6191.49</v>
      </c>
      <c r="H89" s="30">
        <v>5837.66</v>
      </c>
      <c r="I89" s="30">
        <v>3637.88</v>
      </c>
      <c r="J89" s="27">
        <v>4274.5200000000004</v>
      </c>
      <c r="K89" s="30">
        <f>K160</f>
        <v>6558.0552959469733</v>
      </c>
      <c r="L89" s="30">
        <f t="shared" ref="L89:P89" si="52">L160</f>
        <v>7992.9213305798276</v>
      </c>
      <c r="M89" s="30">
        <f t="shared" si="52"/>
        <v>9747.8254176554492</v>
      </c>
      <c r="N89" s="30">
        <f t="shared" si="52"/>
        <v>11895.097654701112</v>
      </c>
      <c r="O89" s="30">
        <f t="shared" si="52"/>
        <v>14523.559535217002</v>
      </c>
      <c r="P89" s="30">
        <f t="shared" si="52"/>
        <v>17742.305750789241</v>
      </c>
    </row>
    <row r="90" spans="1:26" ht="14.4" x14ac:dyDescent="0.3">
      <c r="A90" s="46" t="s">
        <v>46</v>
      </c>
      <c r="B90" s="27">
        <v>22.28</v>
      </c>
      <c r="C90" s="27">
        <v>144.94999999999999</v>
      </c>
      <c r="D90" s="27">
        <v>539.37</v>
      </c>
      <c r="E90" s="27">
        <v>653.89</v>
      </c>
      <c r="F90" s="27">
        <v>354.61</v>
      </c>
      <c r="G90" s="47">
        <v>371.52</v>
      </c>
      <c r="H90" s="47">
        <v>454.8</v>
      </c>
      <c r="I90" s="47">
        <v>562.33000000000004</v>
      </c>
      <c r="J90" s="27">
        <v>283.51</v>
      </c>
      <c r="K90" s="61"/>
      <c r="L90" s="61"/>
      <c r="M90" s="61"/>
      <c r="N90" s="61"/>
      <c r="O90" s="61"/>
      <c r="P90" s="61"/>
    </row>
    <row r="91" spans="1:26" ht="14.4" x14ac:dyDescent="0.3">
      <c r="A91" s="50" t="s">
        <v>38</v>
      </c>
      <c r="B91" s="52">
        <f t="shared" ref="B91:P91" si="53">SUM(B81,B68)</f>
        <v>12572.86</v>
      </c>
      <c r="C91" s="52">
        <f t="shared" si="53"/>
        <v>14694.259999999998</v>
      </c>
      <c r="D91" s="52">
        <f t="shared" si="53"/>
        <v>16738.800000000003</v>
      </c>
      <c r="E91" s="52">
        <f t="shared" si="53"/>
        <v>17641.189999999999</v>
      </c>
      <c r="F91" s="52">
        <f t="shared" si="53"/>
        <v>18749.330000000002</v>
      </c>
      <c r="G91" s="52">
        <f t="shared" si="53"/>
        <v>22161.050000000003</v>
      </c>
      <c r="H91" s="52">
        <f t="shared" si="53"/>
        <v>21714.02</v>
      </c>
      <c r="I91" s="52">
        <f>SUM(I68,I81)</f>
        <v>23263.14</v>
      </c>
      <c r="J91" s="52">
        <f t="shared" si="53"/>
        <v>25571.550000000003</v>
      </c>
      <c r="K91" s="52">
        <f t="shared" si="53"/>
        <v>32108.706360546312</v>
      </c>
      <c r="L91" s="52">
        <f t="shared" si="53"/>
        <v>39111.370874182277</v>
      </c>
      <c r="M91" s="52">
        <f t="shared" si="53"/>
        <v>47662.560471199657</v>
      </c>
      <c r="N91" s="52">
        <f t="shared" si="53"/>
        <v>58119.196873133835</v>
      </c>
      <c r="O91" s="52">
        <f t="shared" si="53"/>
        <v>70919.159727414808</v>
      </c>
      <c r="P91" s="52">
        <f t="shared" si="53"/>
        <v>86599.789087552053</v>
      </c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4.4" x14ac:dyDescent="0.3">
      <c r="A92" s="64" t="s">
        <v>58</v>
      </c>
      <c r="B92" s="65">
        <f t="shared" ref="B92:P92" si="54">B63-B91</f>
        <v>0</v>
      </c>
      <c r="C92" s="65">
        <f t="shared" si="54"/>
        <v>-0.28999999999905413</v>
      </c>
      <c r="D92" s="65">
        <f t="shared" si="54"/>
        <v>0.11999999999898137</v>
      </c>
      <c r="E92" s="65">
        <f t="shared" si="54"/>
        <v>-0.11999999999898137</v>
      </c>
      <c r="F92" s="65">
        <f t="shared" si="54"/>
        <v>-0.40000000000145519</v>
      </c>
      <c r="G92" s="65">
        <f t="shared" si="54"/>
        <v>-4.0000000004511094E-2</v>
      </c>
      <c r="H92" s="65">
        <f t="shared" si="54"/>
        <v>8.000000000174623E-2</v>
      </c>
      <c r="I92" s="65">
        <f t="shared" si="54"/>
        <v>-9.0000000000145519E-2</v>
      </c>
      <c r="J92" s="65">
        <f t="shared" si="54"/>
        <v>0</v>
      </c>
      <c r="K92" s="65">
        <f t="shared" si="54"/>
        <v>2.0000000004074536E-2</v>
      </c>
      <c r="L92" s="65">
        <f t="shared" si="54"/>
        <v>1.9999999989522621E-2</v>
      </c>
      <c r="M92" s="65">
        <f t="shared" si="54"/>
        <v>1.9999999996798579E-2</v>
      </c>
      <c r="N92" s="65">
        <f t="shared" si="54"/>
        <v>1.9999999996798579E-2</v>
      </c>
      <c r="O92" s="65">
        <f t="shared" si="54"/>
        <v>1.9999999989522621E-2</v>
      </c>
      <c r="P92" s="65">
        <f t="shared" si="54"/>
        <v>1.9999999989522621E-2</v>
      </c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spans="1:26" ht="14.4" x14ac:dyDescent="0.3">
      <c r="A93" s="45"/>
      <c r="B93" s="27"/>
      <c r="C93" s="27"/>
      <c r="D93" s="27"/>
      <c r="E93" s="27"/>
      <c r="F93" s="27"/>
      <c r="G93" s="27"/>
      <c r="H93" s="27"/>
      <c r="I93" s="27"/>
      <c r="J93" s="27"/>
      <c r="P93" s="27"/>
    </row>
    <row r="94" spans="1:26" ht="14.4" x14ac:dyDescent="0.3">
      <c r="A94" s="45" t="s">
        <v>59</v>
      </c>
      <c r="B94" s="27">
        <v>8100000</v>
      </c>
      <c r="C94" s="27">
        <v>9100000</v>
      </c>
      <c r="D94" s="27">
        <v>9100000</v>
      </c>
      <c r="E94" s="27">
        <v>9000000</v>
      </c>
      <c r="F94" s="27">
        <v>9100000</v>
      </c>
      <c r="G94" s="27">
        <v>9500000</v>
      </c>
      <c r="H94" s="27">
        <v>9500000</v>
      </c>
      <c r="I94" s="27">
        <v>9500000</v>
      </c>
      <c r="J94" s="27">
        <v>9500000</v>
      </c>
      <c r="K94" s="27">
        <f>J94+K95</f>
        <v>10300000</v>
      </c>
      <c r="L94" s="27">
        <f t="shared" ref="L94:P94" si="55">K94+L95</f>
        <v>11100000</v>
      </c>
      <c r="M94" s="27">
        <f t="shared" si="55"/>
        <v>11900000</v>
      </c>
      <c r="N94" s="27">
        <f t="shared" si="55"/>
        <v>12700000</v>
      </c>
      <c r="O94" s="27">
        <f t="shared" si="55"/>
        <v>13500000</v>
      </c>
      <c r="P94" s="27">
        <f t="shared" si="55"/>
        <v>14300000</v>
      </c>
    </row>
    <row r="95" spans="1:26" ht="14.4" x14ac:dyDescent="0.3">
      <c r="A95" s="45" t="s">
        <v>60</v>
      </c>
      <c r="B95" s="67"/>
      <c r="C95" s="27">
        <f>C94-B94</f>
        <v>1000000</v>
      </c>
      <c r="D95" s="27">
        <f t="shared" ref="D95:J95" si="56">D94-C94</f>
        <v>0</v>
      </c>
      <c r="E95" s="27">
        <f t="shared" si="56"/>
        <v>-100000</v>
      </c>
      <c r="F95" s="27">
        <f t="shared" si="56"/>
        <v>100000</v>
      </c>
      <c r="G95" s="27">
        <f t="shared" si="56"/>
        <v>400000</v>
      </c>
      <c r="H95" s="27">
        <f t="shared" si="56"/>
        <v>0</v>
      </c>
      <c r="I95" s="27">
        <f t="shared" si="56"/>
        <v>0</v>
      </c>
      <c r="J95" s="27">
        <f t="shared" si="56"/>
        <v>0</v>
      </c>
      <c r="K95" s="48">
        <v>800000</v>
      </c>
      <c r="L95" s="48">
        <v>800000</v>
      </c>
      <c r="M95" s="48">
        <v>800000</v>
      </c>
      <c r="N95" s="48">
        <v>800000</v>
      </c>
      <c r="O95" s="48">
        <v>800000</v>
      </c>
      <c r="P95" s="48">
        <v>800000</v>
      </c>
    </row>
    <row r="96" spans="1:26" ht="14.4" x14ac:dyDescent="0.3">
      <c r="A96" s="45"/>
      <c r="B96" s="67"/>
      <c r="C96" s="67"/>
      <c r="D96" s="67"/>
      <c r="E96" s="67"/>
      <c r="F96" s="67"/>
      <c r="G96" s="67"/>
      <c r="H96" s="67"/>
      <c r="I96" s="67"/>
      <c r="J96" s="27"/>
    </row>
    <row r="97" spans="1:26" ht="14.4" x14ac:dyDescent="0.3">
      <c r="A97" s="45" t="s">
        <v>61</v>
      </c>
      <c r="B97" s="27">
        <v>6420000</v>
      </c>
      <c r="C97" s="27">
        <v>6482000</v>
      </c>
      <c r="D97" s="27">
        <v>7360000</v>
      </c>
      <c r="E97" s="27">
        <v>7610000</v>
      </c>
      <c r="F97" s="27">
        <v>6220000</v>
      </c>
      <c r="G97" s="27">
        <v>5600000</v>
      </c>
      <c r="H97" s="27">
        <v>4640000</v>
      </c>
      <c r="I97" s="27">
        <v>5156000</v>
      </c>
      <c r="J97" s="27">
        <v>5420000</v>
      </c>
    </row>
    <row r="98" spans="1:26" ht="14.4" x14ac:dyDescent="0.3">
      <c r="A98" s="45" t="s">
        <v>62</v>
      </c>
      <c r="B98" s="27">
        <v>210409</v>
      </c>
      <c r="C98" s="27">
        <v>182117</v>
      </c>
      <c r="D98" s="27">
        <v>204476</v>
      </c>
      <c r="E98" s="27">
        <v>208056</v>
      </c>
      <c r="F98" s="27">
        <v>178261</v>
      </c>
      <c r="G98" s="27">
        <v>191609</v>
      </c>
      <c r="H98" s="27">
        <v>300624</v>
      </c>
      <c r="I98" s="27">
        <v>172753</v>
      </c>
      <c r="J98" s="27">
        <v>200923</v>
      </c>
    </row>
    <row r="99" spans="1:26" s="25" customFormat="1" ht="14.4" x14ac:dyDescent="0.3">
      <c r="A99" s="68" t="s">
        <v>38</v>
      </c>
      <c r="B99" s="52">
        <f>SUM(B97:B98)</f>
        <v>6630409</v>
      </c>
      <c r="C99" s="52">
        <f t="shared" ref="C99:H99" si="57">SUM(C97:C98)</f>
        <v>6664117</v>
      </c>
      <c r="D99" s="52">
        <f t="shared" si="57"/>
        <v>7564476</v>
      </c>
      <c r="E99" s="52">
        <f t="shared" si="57"/>
        <v>7818056</v>
      </c>
      <c r="F99" s="52">
        <f t="shared" si="57"/>
        <v>6398261</v>
      </c>
      <c r="G99" s="52">
        <f t="shared" si="57"/>
        <v>5791609</v>
      </c>
      <c r="H99" s="52">
        <f t="shared" si="57"/>
        <v>4940624</v>
      </c>
      <c r="I99" s="52">
        <f>SUM(I97:I98)</f>
        <v>5328753</v>
      </c>
      <c r="J99" s="52">
        <f>SUM(J97:J98)</f>
        <v>5620923</v>
      </c>
      <c r="K99" s="69">
        <f>K110*K117</f>
        <v>6945359.1790619707</v>
      </c>
      <c r="L99" s="69">
        <f t="shared" ref="L99:P99" si="58">L110*L117</f>
        <v>7766023.0732404375</v>
      </c>
      <c r="M99" s="69">
        <f t="shared" si="58"/>
        <v>8689091.739005981</v>
      </c>
      <c r="N99" s="69">
        <f t="shared" si="58"/>
        <v>9727654.8741910178</v>
      </c>
      <c r="O99" s="69">
        <f t="shared" si="58"/>
        <v>10896492.230659934</v>
      </c>
      <c r="P99" s="69">
        <f t="shared" si="58"/>
        <v>12212292.717019284</v>
      </c>
    </row>
    <row r="100" spans="1:26" ht="14.4" x14ac:dyDescent="0.3">
      <c r="A100" s="45"/>
      <c r="J100" s="27"/>
    </row>
    <row r="101" spans="1:26" ht="14.4" x14ac:dyDescent="0.3">
      <c r="A101" s="68" t="s">
        <v>63</v>
      </c>
      <c r="B101" s="70">
        <f>B99/B94</f>
        <v>0.81856901234567903</v>
      </c>
      <c r="C101" s="70">
        <f>C99/C94</f>
        <v>0.73232054945054947</v>
      </c>
      <c r="D101" s="70">
        <f t="shared" ref="D101:P101" si="59">D99/D94</f>
        <v>0.83126109890109889</v>
      </c>
      <c r="E101" s="70">
        <f t="shared" si="59"/>
        <v>0.86867288888888894</v>
      </c>
      <c r="F101" s="70">
        <f t="shared" si="59"/>
        <v>0.70310560439560443</v>
      </c>
      <c r="G101" s="70">
        <f t="shared" si="59"/>
        <v>0.60964305263157892</v>
      </c>
      <c r="H101" s="70">
        <f t="shared" si="59"/>
        <v>0.52006568421052635</v>
      </c>
      <c r="I101" s="70">
        <f t="shared" si="59"/>
        <v>0.56092136842105267</v>
      </c>
      <c r="J101" s="70">
        <f t="shared" si="59"/>
        <v>0.59167610526315795</v>
      </c>
      <c r="K101" s="70">
        <f t="shared" si="59"/>
        <v>0.67430671641378359</v>
      </c>
      <c r="L101" s="70">
        <f t="shared" si="59"/>
        <v>0.69964171830994937</v>
      </c>
      <c r="M101" s="70">
        <f t="shared" si="59"/>
        <v>0.73017577638705722</v>
      </c>
      <c r="N101" s="70">
        <f t="shared" si="59"/>
        <v>0.76595707670795421</v>
      </c>
      <c r="O101" s="70">
        <f t="shared" si="59"/>
        <v>0.80714757264147663</v>
      </c>
      <c r="P101" s="70">
        <f t="shared" si="59"/>
        <v>0.85400648370764221</v>
      </c>
    </row>
    <row r="102" spans="1:26" ht="14.4" x14ac:dyDescent="0.3">
      <c r="A102" s="45"/>
      <c r="J102" s="27"/>
    </row>
    <row r="103" spans="1:26" ht="14.4" x14ac:dyDescent="0.3">
      <c r="A103" s="45" t="s">
        <v>64</v>
      </c>
      <c r="C103" s="70">
        <f>C97/B97-1</f>
        <v>9.6573208722741111E-3</v>
      </c>
      <c r="D103" s="70">
        <f t="shared" ref="D103:J103" si="60">D97/C97-1</f>
        <v>0.1354520209811787</v>
      </c>
      <c r="E103" s="70">
        <f t="shared" si="60"/>
        <v>3.3967391304347894E-2</v>
      </c>
      <c r="F103" s="70">
        <f t="shared" si="60"/>
        <v>-0.18265440210249673</v>
      </c>
      <c r="G103" s="70">
        <f t="shared" si="60"/>
        <v>-9.9678456591639875E-2</v>
      </c>
      <c r="H103" s="70">
        <f t="shared" si="60"/>
        <v>-0.17142857142857137</v>
      </c>
      <c r="I103" s="70">
        <f t="shared" si="60"/>
        <v>0.11120689655172411</v>
      </c>
      <c r="J103" s="70">
        <f t="shared" si="60"/>
        <v>5.1202482544608241E-2</v>
      </c>
      <c r="K103" s="70"/>
      <c r="L103" s="70"/>
      <c r="M103" s="70"/>
      <c r="N103" s="70"/>
      <c r="O103" s="70"/>
      <c r="P103" s="70"/>
    </row>
    <row r="104" spans="1:26" ht="14.4" x14ac:dyDescent="0.3">
      <c r="A104" s="45" t="s">
        <v>65</v>
      </c>
      <c r="C104" s="70">
        <f t="shared" ref="C104:J104" si="61">C98/B98-1</f>
        <v>-0.13446192890988506</v>
      </c>
      <c r="D104" s="70">
        <f t="shared" si="61"/>
        <v>0.12277272302970066</v>
      </c>
      <c r="E104" s="70">
        <f t="shared" si="61"/>
        <v>1.750816721766868E-2</v>
      </c>
      <c r="F104" s="70">
        <f t="shared" si="61"/>
        <v>-0.14320663667474143</v>
      </c>
      <c r="G104" s="70">
        <f t="shared" si="61"/>
        <v>7.4878969600753909E-2</v>
      </c>
      <c r="H104" s="70">
        <f t="shared" si="61"/>
        <v>0.5689450913057319</v>
      </c>
      <c r="I104" s="70">
        <f t="shared" si="61"/>
        <v>-0.42535193464261001</v>
      </c>
      <c r="J104" s="70">
        <f t="shared" si="61"/>
        <v>0.16306518555394112</v>
      </c>
      <c r="K104" s="70"/>
      <c r="L104" s="70"/>
      <c r="M104" s="70"/>
      <c r="N104" s="70"/>
      <c r="O104" s="70"/>
      <c r="P104" s="70"/>
    </row>
    <row r="105" spans="1:26" ht="14.4" x14ac:dyDescent="0.3">
      <c r="A105" s="68" t="s">
        <v>66</v>
      </c>
      <c r="C105" s="70">
        <f t="shared" ref="C105:J105" si="62">C99/B99-1</f>
        <v>5.0838492768696675E-3</v>
      </c>
      <c r="D105" s="70">
        <f t="shared" si="62"/>
        <v>0.13510552110654728</v>
      </c>
      <c r="E105" s="70">
        <f t="shared" si="62"/>
        <v>3.3522480605398197E-2</v>
      </c>
      <c r="F105" s="70">
        <f t="shared" si="62"/>
        <v>-0.18160460861370142</v>
      </c>
      <c r="G105" s="70">
        <f t="shared" si="62"/>
        <v>-9.4815138050792225E-2</v>
      </c>
      <c r="H105" s="70">
        <f t="shared" si="62"/>
        <v>-0.14693412486927204</v>
      </c>
      <c r="I105" s="70">
        <f t="shared" si="62"/>
        <v>7.8558700277535864E-2</v>
      </c>
      <c r="J105" s="70">
        <f t="shared" si="62"/>
        <v>5.4828962798613379E-2</v>
      </c>
      <c r="K105" s="70"/>
      <c r="L105" s="70"/>
      <c r="M105" s="70"/>
      <c r="N105" s="70"/>
      <c r="O105" s="70"/>
      <c r="P105" s="70"/>
    </row>
    <row r="106" spans="1:26" ht="14.4" x14ac:dyDescent="0.3">
      <c r="A106" s="45"/>
      <c r="J106" s="27"/>
    </row>
    <row r="107" spans="1:26" ht="14.4" x14ac:dyDescent="0.3">
      <c r="A107" s="68" t="s">
        <v>67</v>
      </c>
    </row>
    <row r="108" spans="1:26" ht="14.4" x14ac:dyDescent="0.3">
      <c r="A108" s="45" t="s">
        <v>68</v>
      </c>
      <c r="B108" s="27">
        <v>16460000</v>
      </c>
      <c r="C108" s="27">
        <v>17590000</v>
      </c>
      <c r="D108" s="27">
        <v>20200000</v>
      </c>
      <c r="E108" s="27">
        <v>21179847</v>
      </c>
      <c r="F108" s="27">
        <v>17416432</v>
      </c>
      <c r="G108" s="27">
        <v>15120783</v>
      </c>
      <c r="H108" s="27">
        <v>13570008</v>
      </c>
      <c r="I108" s="27">
        <v>15862771</v>
      </c>
      <c r="J108" s="27">
        <v>17974365</v>
      </c>
      <c r="K108" s="27">
        <f>J108*(1+K111)</f>
        <v>20311032.449999999</v>
      </c>
      <c r="L108" s="27">
        <f t="shared" ref="L108:P108" si="63">K108*(1+L111)</f>
        <v>22951466.668499999</v>
      </c>
      <c r="M108" s="27">
        <f t="shared" si="63"/>
        <v>25935157.335404996</v>
      </c>
      <c r="N108" s="27">
        <f t="shared" si="63"/>
        <v>29306727.789007641</v>
      </c>
      <c r="O108" s="27">
        <f t="shared" si="63"/>
        <v>33116602.401578631</v>
      </c>
      <c r="P108" s="27">
        <f t="shared" si="63"/>
        <v>37421760.713783853</v>
      </c>
    </row>
    <row r="109" spans="1:26" ht="14.4" x14ac:dyDescent="0.3">
      <c r="A109" s="45" t="s">
        <v>62</v>
      </c>
      <c r="B109" s="27">
        <v>2500000</v>
      </c>
      <c r="C109" s="27">
        <v>2600000</v>
      </c>
      <c r="D109" s="27">
        <v>2800000</v>
      </c>
      <c r="E109" s="27">
        <v>3280841</v>
      </c>
      <c r="F109" s="27">
        <v>3519405</v>
      </c>
      <c r="G109" s="27">
        <v>3282786</v>
      </c>
      <c r="H109" s="27">
        <v>4443131</v>
      </c>
      <c r="I109" s="27">
        <v>3652122</v>
      </c>
      <c r="J109" s="27">
        <v>3458416</v>
      </c>
      <c r="K109" s="27">
        <f>J109*(1+K112)</f>
        <v>3638481.9605585244</v>
      </c>
      <c r="L109" s="27">
        <f t="shared" ref="L109:P109" si="64">K109*(1+L112)</f>
        <v>3827923.2392256465</v>
      </c>
      <c r="M109" s="27">
        <f t="shared" si="64"/>
        <v>4027227.9715121798</v>
      </c>
      <c r="N109" s="27">
        <f t="shared" si="64"/>
        <v>4236909.7082027625</v>
      </c>
      <c r="O109" s="27">
        <f t="shared" si="64"/>
        <v>4457508.7386280401</v>
      </c>
      <c r="P109" s="27">
        <f t="shared" si="64"/>
        <v>4689593.4828343689</v>
      </c>
      <c r="Z109" s="27"/>
    </row>
    <row r="110" spans="1:26" s="25" customFormat="1" ht="14.4" x14ac:dyDescent="0.3">
      <c r="A110" s="68" t="s">
        <v>38</v>
      </c>
      <c r="B110" s="52">
        <f>SUM(B108:B109)</f>
        <v>18960000</v>
      </c>
      <c r="C110" s="52">
        <f t="shared" ref="C110:J110" si="65">SUM(C108:C109)</f>
        <v>20190000</v>
      </c>
      <c r="D110" s="52">
        <f t="shared" si="65"/>
        <v>23000000</v>
      </c>
      <c r="E110" s="52">
        <f t="shared" si="65"/>
        <v>24460688</v>
      </c>
      <c r="F110" s="52">
        <f t="shared" si="65"/>
        <v>20935837</v>
      </c>
      <c r="G110" s="52">
        <f t="shared" si="65"/>
        <v>18403569</v>
      </c>
      <c r="H110" s="52">
        <f t="shared" si="65"/>
        <v>18013139</v>
      </c>
      <c r="I110" s="52">
        <f t="shared" si="65"/>
        <v>19514893</v>
      </c>
      <c r="J110" s="52">
        <f t="shared" si="65"/>
        <v>21432781</v>
      </c>
      <c r="K110" s="52">
        <f t="shared" ref="K110" si="66">SUM(K108:K109)</f>
        <v>23949514.410558522</v>
      </c>
      <c r="L110" s="52">
        <f t="shared" ref="L110" si="67">SUM(L108:L109)</f>
        <v>26779389.907725647</v>
      </c>
      <c r="M110" s="52">
        <f t="shared" ref="M110" si="68">SUM(M108:M109)</f>
        <v>29962385.306917176</v>
      </c>
      <c r="N110" s="52">
        <f t="shared" ref="N110" si="69">SUM(N108:N109)</f>
        <v>33543637.497210406</v>
      </c>
      <c r="O110" s="52">
        <f t="shared" ref="O110" si="70">SUM(O108:O109)</f>
        <v>37574111.140206672</v>
      </c>
      <c r="P110" s="52">
        <f t="shared" ref="P110" si="71">SUM(P108:P109)</f>
        <v>42111354.196618222</v>
      </c>
    </row>
    <row r="111" spans="1:26" ht="14.4" x14ac:dyDescent="0.3">
      <c r="A111" s="45" t="s">
        <v>69</v>
      </c>
      <c r="C111" s="70">
        <f>C108/B108-1</f>
        <v>6.8651275820170055E-2</v>
      </c>
      <c r="D111" s="70">
        <f t="shared" ref="D111:J111" si="72">D108/C108-1</f>
        <v>0.14837976122797047</v>
      </c>
      <c r="E111" s="70">
        <f t="shared" si="72"/>
        <v>4.8507277227722856E-2</v>
      </c>
      <c r="F111" s="70">
        <f t="shared" si="72"/>
        <v>-0.17768848849569119</v>
      </c>
      <c r="G111" s="70">
        <f t="shared" si="72"/>
        <v>-0.13180937404400628</v>
      </c>
      <c r="H111" s="70">
        <f t="shared" si="72"/>
        <v>-0.10255917302695239</v>
      </c>
      <c r="I111" s="70">
        <f t="shared" si="72"/>
        <v>0.16895811704753605</v>
      </c>
      <c r="J111" s="70">
        <f t="shared" si="72"/>
        <v>0.13311633887925378</v>
      </c>
      <c r="K111" s="71">
        <v>0.13</v>
      </c>
      <c r="L111" s="72">
        <f>K111</f>
        <v>0.13</v>
      </c>
      <c r="M111" s="72">
        <f t="shared" ref="M111:P111" si="73">L111</f>
        <v>0.13</v>
      </c>
      <c r="N111" s="72">
        <f t="shared" si="73"/>
        <v>0.13</v>
      </c>
      <c r="O111" s="72">
        <f t="shared" si="73"/>
        <v>0.13</v>
      </c>
      <c r="P111" s="72">
        <f t="shared" si="73"/>
        <v>0.13</v>
      </c>
      <c r="Q111" s="73"/>
    </row>
    <row r="112" spans="1:26" ht="14.4" x14ac:dyDescent="0.3">
      <c r="A112" s="45" t="s">
        <v>70</v>
      </c>
      <c r="C112" s="70">
        <f t="shared" ref="C112:J112" si="74">C109/B109-1</f>
        <v>4.0000000000000036E-2</v>
      </c>
      <c r="D112" s="70">
        <f t="shared" si="74"/>
        <v>7.6923076923076872E-2</v>
      </c>
      <c r="E112" s="70">
        <f t="shared" si="74"/>
        <v>0.17172892857142852</v>
      </c>
      <c r="F112" s="70">
        <f t="shared" si="74"/>
        <v>7.2714282709829492E-2</v>
      </c>
      <c r="G112" s="70">
        <f t="shared" si="74"/>
        <v>-6.723267143167666E-2</v>
      </c>
      <c r="H112" s="70">
        <f t="shared" si="74"/>
        <v>0.35346349107130348</v>
      </c>
      <c r="I112" s="70">
        <f t="shared" si="74"/>
        <v>-0.17802963720853604</v>
      </c>
      <c r="J112" s="70">
        <f t="shared" si="74"/>
        <v>-5.3039301534833716E-2</v>
      </c>
      <c r="K112" s="71">
        <f>AVERAGE(C112:J112)</f>
        <v>5.2066021137573998E-2</v>
      </c>
      <c r="L112" s="72">
        <f t="shared" ref="L112:P112" si="75">K112</f>
        <v>5.2066021137573998E-2</v>
      </c>
      <c r="M112" s="72">
        <f t="shared" si="75"/>
        <v>5.2066021137573998E-2</v>
      </c>
      <c r="N112" s="72">
        <f t="shared" si="75"/>
        <v>5.2066021137573998E-2</v>
      </c>
      <c r="O112" s="72">
        <f t="shared" si="75"/>
        <v>5.2066021137573998E-2</v>
      </c>
      <c r="P112" s="72">
        <f t="shared" si="75"/>
        <v>5.2066021137573998E-2</v>
      </c>
    </row>
    <row r="113" spans="1:26" ht="14.4" x14ac:dyDescent="0.3">
      <c r="A113" s="45"/>
      <c r="J113" s="27"/>
    </row>
    <row r="114" spans="1:26" ht="14.4" x14ac:dyDescent="0.3">
      <c r="A114" s="68" t="s">
        <v>71</v>
      </c>
      <c r="J114" s="27"/>
      <c r="K114" s="73"/>
    </row>
    <row r="115" spans="1:26" ht="14.4" x14ac:dyDescent="0.3">
      <c r="A115" s="45" t="s">
        <v>61</v>
      </c>
      <c r="B115" s="70">
        <f>B97/B108</f>
        <v>0.39003645200486026</v>
      </c>
      <c r="C115" s="70">
        <f t="shared" ref="C115:J115" si="76">C97/C108</f>
        <v>0.36850483229107445</v>
      </c>
      <c r="D115" s="70">
        <f t="shared" si="76"/>
        <v>0.36435643564356435</v>
      </c>
      <c r="E115" s="70">
        <f t="shared" si="76"/>
        <v>0.35930382311071463</v>
      </c>
      <c r="F115" s="70">
        <f t="shared" si="76"/>
        <v>0.35713399851358762</v>
      </c>
      <c r="G115" s="70">
        <f t="shared" si="76"/>
        <v>0.37035119146938356</v>
      </c>
      <c r="H115" s="70">
        <f t="shared" si="76"/>
        <v>0.34193052797021195</v>
      </c>
      <c r="I115" s="70">
        <f t="shared" si="76"/>
        <v>0.32503778816450163</v>
      </c>
      <c r="J115" s="70">
        <f t="shared" si="76"/>
        <v>0.30154055511835887</v>
      </c>
      <c r="K115" s="74"/>
      <c r="L115" s="74"/>
      <c r="M115" s="74"/>
      <c r="N115" s="74"/>
      <c r="O115" s="74"/>
      <c r="P115" s="74"/>
    </row>
    <row r="116" spans="1:26" ht="14.4" x14ac:dyDescent="0.3">
      <c r="A116" s="45" t="s">
        <v>62</v>
      </c>
      <c r="B116" s="70">
        <f t="shared" ref="B116:J116" si="77">B98/B109</f>
        <v>8.4163600000000005E-2</v>
      </c>
      <c r="C116" s="70">
        <f t="shared" si="77"/>
        <v>7.0044999999999996E-2</v>
      </c>
      <c r="D116" s="70">
        <f t="shared" si="77"/>
        <v>7.302714285714286E-2</v>
      </c>
      <c r="E116" s="70">
        <f t="shared" si="77"/>
        <v>6.3415447441677306E-2</v>
      </c>
      <c r="F116" s="70">
        <f t="shared" si="77"/>
        <v>5.065089127281458E-2</v>
      </c>
      <c r="G116" s="70">
        <f t="shared" si="77"/>
        <v>5.8367801008046213E-2</v>
      </c>
      <c r="H116" s="70">
        <f t="shared" si="77"/>
        <v>6.766039533833236E-2</v>
      </c>
      <c r="I116" s="70">
        <f t="shared" si="77"/>
        <v>4.730208903207505E-2</v>
      </c>
      <c r="J116" s="70">
        <f t="shared" si="77"/>
        <v>5.8096828143288717E-2</v>
      </c>
      <c r="K116" s="74"/>
      <c r="L116" s="74"/>
      <c r="M116" s="74"/>
      <c r="N116" s="74"/>
      <c r="O116" s="74"/>
      <c r="P116" s="74"/>
    </row>
    <row r="117" spans="1:26" ht="14.4" x14ac:dyDescent="0.3">
      <c r="A117" s="45" t="s">
        <v>72</v>
      </c>
      <c r="B117" s="70">
        <f>B99/B110</f>
        <v>0.34970511603375526</v>
      </c>
      <c r="C117" s="70">
        <f t="shared" ref="C117:J117" si="78">C99/C110</f>
        <v>0.33007018325903914</v>
      </c>
      <c r="D117" s="70">
        <f t="shared" si="78"/>
        <v>0.32889026086956524</v>
      </c>
      <c r="E117" s="70">
        <f t="shared" si="78"/>
        <v>0.31961717511788712</v>
      </c>
      <c r="F117" s="70">
        <f t="shared" si="78"/>
        <v>0.30561285894612189</v>
      </c>
      <c r="G117" s="70">
        <f t="shared" si="78"/>
        <v>0.31470031709610241</v>
      </c>
      <c r="H117" s="70">
        <f t="shared" si="78"/>
        <v>0.27427890274982059</v>
      </c>
      <c r="I117" s="70">
        <f t="shared" si="78"/>
        <v>0.27306083615216337</v>
      </c>
      <c r="J117" s="70">
        <f t="shared" si="78"/>
        <v>0.2622582202468266</v>
      </c>
      <c r="K117" s="71">
        <v>0.28999999999999998</v>
      </c>
      <c r="L117" s="72">
        <f>K117</f>
        <v>0.28999999999999998</v>
      </c>
      <c r="M117" s="72">
        <f t="shared" ref="M117:P117" si="79">L117</f>
        <v>0.28999999999999998</v>
      </c>
      <c r="N117" s="72">
        <f t="shared" si="79"/>
        <v>0.28999999999999998</v>
      </c>
      <c r="O117" s="72">
        <f t="shared" si="79"/>
        <v>0.28999999999999998</v>
      </c>
      <c r="P117" s="72">
        <f t="shared" si="79"/>
        <v>0.28999999999999998</v>
      </c>
      <c r="Z117" s="70"/>
    </row>
    <row r="118" spans="1:26" ht="14.4" x14ac:dyDescent="0.3">
      <c r="A118" s="45"/>
      <c r="J118" s="27"/>
    </row>
    <row r="119" spans="1:26" ht="14.4" x14ac:dyDescent="0.3">
      <c r="A119" s="45"/>
      <c r="J119" s="27"/>
      <c r="K119" s="73"/>
    </row>
    <row r="120" spans="1:26" ht="14.4" x14ac:dyDescent="0.3">
      <c r="A120" s="45" t="s">
        <v>93</v>
      </c>
      <c r="B120" s="27">
        <f>(B3/B99)*10^7</f>
        <v>46303.146608301242</v>
      </c>
      <c r="C120" s="27">
        <f t="shared" ref="C120:J120" si="80">(C3/C99)*10^7</f>
        <v>46325.10203527339</v>
      </c>
      <c r="D120" s="27">
        <f t="shared" si="80"/>
        <v>43455.514962305388</v>
      </c>
      <c r="E120" s="27">
        <f t="shared" si="80"/>
        <v>43042.081049304325</v>
      </c>
      <c r="F120" s="27">
        <f t="shared" si="80"/>
        <v>45068.636618606208</v>
      </c>
      <c r="G120" s="27">
        <f t="shared" si="80"/>
        <v>53181.456137663983</v>
      </c>
      <c r="H120" s="27">
        <f t="shared" si="80"/>
        <v>59193.879153726339</v>
      </c>
      <c r="I120" s="27">
        <f t="shared" si="80"/>
        <v>63440.076881026383</v>
      </c>
      <c r="J120" s="27">
        <f t="shared" si="80"/>
        <v>66636.244616764903</v>
      </c>
      <c r="K120" s="27">
        <f>J120*(1+K121)</f>
        <v>72633.506632273755</v>
      </c>
      <c r="L120" s="27">
        <f t="shared" ref="L120:P120" si="81">K120*(1+L121)</f>
        <v>79170.522229178401</v>
      </c>
      <c r="M120" s="27">
        <f t="shared" si="81"/>
        <v>86295.869229804463</v>
      </c>
      <c r="N120" s="27">
        <f t="shared" si="81"/>
        <v>94062.497460486877</v>
      </c>
      <c r="O120" s="27">
        <f t="shared" si="81"/>
        <v>102528.1222319307</v>
      </c>
      <c r="P120" s="27">
        <f t="shared" si="81"/>
        <v>111755.65323280447</v>
      </c>
    </row>
    <row r="121" spans="1:26" ht="14.4" x14ac:dyDescent="0.3">
      <c r="A121" s="45" t="s">
        <v>73</v>
      </c>
      <c r="C121" s="70">
        <f>C120/B120-1</f>
        <v>4.741670616443816E-4</v>
      </c>
      <c r="D121" s="70">
        <f t="shared" ref="D121:J121" si="82">D120/C120-1</f>
        <v>-6.1944538638749491E-2</v>
      </c>
      <c r="E121" s="70">
        <f t="shared" si="82"/>
        <v>-9.5139572815944318E-3</v>
      </c>
      <c r="F121" s="70">
        <f t="shared" si="82"/>
        <v>4.7083122374600883E-2</v>
      </c>
      <c r="G121" s="70">
        <f t="shared" si="82"/>
        <v>0.18001031599230721</v>
      </c>
      <c r="H121" s="70">
        <f t="shared" si="82"/>
        <v>0.11305487763439137</v>
      </c>
      <c r="I121" s="70">
        <f t="shared" si="82"/>
        <v>7.173372970324654E-2</v>
      </c>
      <c r="J121" s="70">
        <f t="shared" si="82"/>
        <v>5.0380893165254514E-2</v>
      </c>
      <c r="K121" s="71">
        <v>0.09</v>
      </c>
      <c r="L121" s="72">
        <f>K121</f>
        <v>0.09</v>
      </c>
      <c r="M121" s="72">
        <f t="shared" ref="M121:P121" si="83">L121</f>
        <v>0.09</v>
      </c>
      <c r="N121" s="72">
        <f t="shared" si="83"/>
        <v>0.09</v>
      </c>
      <c r="O121" s="72">
        <f t="shared" si="83"/>
        <v>0.09</v>
      </c>
      <c r="P121" s="72">
        <f t="shared" si="83"/>
        <v>0.09</v>
      </c>
    </row>
    <row r="122" spans="1:26" ht="14.4" x14ac:dyDescent="0.3">
      <c r="A122" s="45"/>
      <c r="J122" s="27"/>
    </row>
    <row r="123" spans="1:26" ht="13.8" x14ac:dyDescent="0.3">
      <c r="J123" s="27"/>
    </row>
    <row r="124" spans="1:26" ht="14.4" x14ac:dyDescent="0.3">
      <c r="A124" s="68" t="s">
        <v>74</v>
      </c>
      <c r="J124" s="27"/>
      <c r="K124" s="73"/>
    </row>
    <row r="125" spans="1:26" ht="14.4" x14ac:dyDescent="0.3">
      <c r="A125" s="46" t="s">
        <v>5</v>
      </c>
      <c r="B125" s="70">
        <f>B9/B$3</f>
        <v>0.62935394685754942</v>
      </c>
      <c r="C125" s="70">
        <f t="shared" ref="C125:J125" si="84">C9/C$3</f>
        <v>0.61461395412416397</v>
      </c>
      <c r="D125" s="70">
        <f t="shared" si="84"/>
        <v>0.66494006112226223</v>
      </c>
      <c r="E125" s="70">
        <f t="shared" si="84"/>
        <v>0.69378084274427687</v>
      </c>
      <c r="F125" s="70">
        <f t="shared" si="84"/>
        <v>0.68896962105472681</v>
      </c>
      <c r="G125" s="70">
        <f t="shared" si="84"/>
        <v>0.71022369030233812</v>
      </c>
      <c r="H125" s="70">
        <f t="shared" si="84"/>
        <v>0.70807786641828629</v>
      </c>
      <c r="I125" s="70">
        <f t="shared" si="84"/>
        <v>0.71052412836315815</v>
      </c>
      <c r="J125" s="70">
        <f t="shared" si="84"/>
        <v>0.66124639974882338</v>
      </c>
      <c r="K125" s="75">
        <v>0.68500000000000005</v>
      </c>
      <c r="L125" s="76">
        <f>K125</f>
        <v>0.68500000000000005</v>
      </c>
      <c r="M125" s="76">
        <f t="shared" ref="M125:P125" si="85">L125</f>
        <v>0.68500000000000005</v>
      </c>
      <c r="N125" s="76">
        <f t="shared" si="85"/>
        <v>0.68500000000000005</v>
      </c>
      <c r="O125" s="76">
        <f t="shared" si="85"/>
        <v>0.68500000000000005</v>
      </c>
      <c r="P125" s="76">
        <f t="shared" si="85"/>
        <v>0.68500000000000005</v>
      </c>
    </row>
    <row r="126" spans="1:26" ht="14.4" x14ac:dyDescent="0.3">
      <c r="A126" s="46" t="s">
        <v>6</v>
      </c>
      <c r="B126" s="70">
        <f t="shared" ref="B126:J126" si="86">B10/B$3</f>
        <v>0</v>
      </c>
      <c r="C126" s="70">
        <f t="shared" si="86"/>
        <v>0</v>
      </c>
      <c r="D126" s="70">
        <f t="shared" si="86"/>
        <v>0</v>
      </c>
      <c r="E126" s="70">
        <f t="shared" si="86"/>
        <v>0</v>
      </c>
      <c r="F126" s="70">
        <f t="shared" si="86"/>
        <v>0</v>
      </c>
      <c r="G126" s="70">
        <f t="shared" si="86"/>
        <v>9.8894113170449162E-4</v>
      </c>
      <c r="H126" s="70">
        <f t="shared" si="86"/>
        <v>1.5711835029493457E-3</v>
      </c>
      <c r="I126" s="70">
        <f t="shared" si="86"/>
        <v>1.4030199093938438E-3</v>
      </c>
      <c r="J126" s="70">
        <f t="shared" si="86"/>
        <v>1.2927264513938058E-2</v>
      </c>
      <c r="K126" s="76">
        <f>J126</f>
        <v>1.2927264513938058E-2</v>
      </c>
      <c r="L126" s="76">
        <f t="shared" ref="L126:P126" si="87">K126</f>
        <v>1.2927264513938058E-2</v>
      </c>
      <c r="M126" s="76">
        <f t="shared" si="87"/>
        <v>1.2927264513938058E-2</v>
      </c>
      <c r="N126" s="76">
        <f t="shared" si="87"/>
        <v>1.2927264513938058E-2</v>
      </c>
      <c r="O126" s="76">
        <f t="shared" si="87"/>
        <v>1.2927264513938058E-2</v>
      </c>
      <c r="P126" s="76">
        <f t="shared" si="87"/>
        <v>1.2927264513938058E-2</v>
      </c>
    </row>
    <row r="127" spans="1:26" ht="14.4" x14ac:dyDescent="0.3">
      <c r="A127" s="46" t="s">
        <v>7</v>
      </c>
      <c r="B127" s="70">
        <f t="shared" ref="B127:J127" si="88">B11/B$3</f>
        <v>-3.8695959203775268E-4</v>
      </c>
      <c r="C127" s="70">
        <f t="shared" si="88"/>
        <v>2.046217898073925E-3</v>
      </c>
      <c r="D127" s="70">
        <f t="shared" si="88"/>
        <v>-7.0425063169608489E-4</v>
      </c>
      <c r="E127" s="70">
        <f t="shared" si="88"/>
        <v>-8.4337428166085884E-4</v>
      </c>
      <c r="F127" s="70">
        <f t="shared" si="88"/>
        <v>-5.8877607886506115E-3</v>
      </c>
      <c r="G127" s="70">
        <f t="shared" si="88"/>
        <v>-4.6576984489273268E-3</v>
      </c>
      <c r="H127" s="70">
        <f t="shared" si="88"/>
        <v>2.4861970076049383E-3</v>
      </c>
      <c r="I127" s="70">
        <f t="shared" si="88"/>
        <v>-6.1835817385555367E-3</v>
      </c>
      <c r="J127" s="70">
        <f t="shared" si="88"/>
        <v>4.7819131497138486E-3</v>
      </c>
      <c r="K127" s="76">
        <f>J127</f>
        <v>4.7819131497138486E-3</v>
      </c>
      <c r="L127" s="76">
        <f t="shared" ref="L127:P127" si="89">K127</f>
        <v>4.7819131497138486E-3</v>
      </c>
      <c r="M127" s="76">
        <f t="shared" si="89"/>
        <v>4.7819131497138486E-3</v>
      </c>
      <c r="N127" s="76">
        <f t="shared" si="89"/>
        <v>4.7819131497138486E-3</v>
      </c>
      <c r="O127" s="76">
        <f t="shared" si="89"/>
        <v>4.7819131497138486E-3</v>
      </c>
      <c r="P127" s="76">
        <f t="shared" si="89"/>
        <v>4.7819131497138486E-3</v>
      </c>
    </row>
    <row r="128" spans="1:26" ht="14.4" x14ac:dyDescent="0.3">
      <c r="A128" s="46" t="s">
        <v>8</v>
      </c>
      <c r="B128" s="70">
        <f t="shared" ref="B128:J128" si="90">B12/B$3</f>
        <v>4.2862940736552176E-2</v>
      </c>
      <c r="C128" s="70">
        <f t="shared" si="90"/>
        <v>4.5219893112081369E-2</v>
      </c>
      <c r="D128" s="70">
        <f t="shared" si="90"/>
        <v>4.6852592889593585E-2</v>
      </c>
      <c r="E128" s="70">
        <f t="shared" si="90"/>
        <v>5.1417897008487826E-2</v>
      </c>
      <c r="F128" s="70">
        <f t="shared" si="90"/>
        <v>6.3867882226751271E-2</v>
      </c>
      <c r="G128" s="70">
        <f t="shared" si="90"/>
        <v>6.1645512330595946E-2</v>
      </c>
      <c r="H128" s="70">
        <f t="shared" si="90"/>
        <v>6.6179138170800469E-2</v>
      </c>
      <c r="I128" s="70">
        <f t="shared" si="90"/>
        <v>6.4777041707525213E-2</v>
      </c>
      <c r="J128" s="70">
        <f t="shared" si="90"/>
        <v>6.4138134308992054E-2</v>
      </c>
      <c r="K128" s="75">
        <v>6.5000000000000002E-2</v>
      </c>
      <c r="L128" s="76">
        <v>6.5000000000000002E-2</v>
      </c>
      <c r="M128" s="76">
        <v>6.5000000000000002E-2</v>
      </c>
      <c r="N128" s="76">
        <v>6.5000000000000002E-2</v>
      </c>
      <c r="O128" s="76">
        <v>6.5000000000000002E-2</v>
      </c>
      <c r="P128" s="76">
        <v>6.5000000000000002E-2</v>
      </c>
      <c r="Q128" s="73"/>
    </row>
    <row r="129" spans="1:16" ht="14.4" x14ac:dyDescent="0.3">
      <c r="A129" s="46" t="s">
        <v>9</v>
      </c>
      <c r="B129" s="70">
        <f t="shared" ref="B129:J129" si="91">B13/B$3</f>
        <v>0.10950695875818543</v>
      </c>
      <c r="C129" s="70">
        <f t="shared" si="91"/>
        <v>0.11118183417180651</v>
      </c>
      <c r="D129" s="70">
        <f t="shared" si="91"/>
        <v>0.10877189033038025</v>
      </c>
      <c r="E129" s="70">
        <f t="shared" si="91"/>
        <v>0.10913613867712077</v>
      </c>
      <c r="F129" s="70">
        <f t="shared" si="91"/>
        <v>0.11579309122700061</v>
      </c>
      <c r="G129" s="70">
        <f t="shared" si="91"/>
        <v>0.10130737628008787</v>
      </c>
      <c r="H129" s="70">
        <f t="shared" si="91"/>
        <v>0.1064961513697677</v>
      </c>
      <c r="I129" s="70">
        <f t="shared" si="91"/>
        <v>0.11156330376726967</v>
      </c>
      <c r="J129" s="70">
        <f t="shared" si="91"/>
        <v>0.11658833417165655</v>
      </c>
      <c r="K129" s="75">
        <v>0.11</v>
      </c>
      <c r="L129" s="76">
        <v>0.11</v>
      </c>
      <c r="M129" s="76">
        <v>0.11</v>
      </c>
      <c r="N129" s="76">
        <v>0.11</v>
      </c>
      <c r="O129" s="76">
        <v>0.11</v>
      </c>
      <c r="P129" s="76">
        <v>0.11</v>
      </c>
    </row>
    <row r="130" spans="1:16" ht="14.4" x14ac:dyDescent="0.3">
      <c r="A130" s="46"/>
      <c r="B130" s="70"/>
      <c r="C130" s="70"/>
      <c r="D130" s="70"/>
      <c r="E130" s="70"/>
      <c r="F130" s="70"/>
      <c r="G130" s="70"/>
      <c r="H130" s="70"/>
      <c r="I130" s="70"/>
      <c r="J130" s="27"/>
      <c r="K130" s="70"/>
      <c r="L130" s="70"/>
      <c r="M130" s="70"/>
      <c r="N130" s="70"/>
      <c r="O130" s="70"/>
      <c r="P130" s="70"/>
    </row>
    <row r="131" spans="1:16" ht="14.4" x14ac:dyDescent="0.3">
      <c r="A131" s="45"/>
      <c r="H131" s="73"/>
      <c r="J131" s="27"/>
    </row>
    <row r="132" spans="1:16" ht="14.4" hidden="1" x14ac:dyDescent="0.3">
      <c r="A132" s="45"/>
      <c r="J132" s="27"/>
    </row>
    <row r="133" spans="1:16" ht="14.4" hidden="1" x14ac:dyDescent="0.3">
      <c r="A133" s="39" t="s">
        <v>75</v>
      </c>
      <c r="J133" s="27"/>
    </row>
    <row r="134" spans="1:16" ht="14.4" hidden="1" x14ac:dyDescent="0.3">
      <c r="A134" s="46" t="s">
        <v>5</v>
      </c>
      <c r="J134" s="27"/>
    </row>
    <row r="135" spans="1:16" ht="14.4" hidden="1" x14ac:dyDescent="0.3">
      <c r="A135" s="46" t="s">
        <v>6</v>
      </c>
      <c r="J135" s="27"/>
    </row>
    <row r="136" spans="1:16" ht="14.4" hidden="1" x14ac:dyDescent="0.3">
      <c r="A136" s="46" t="s">
        <v>7</v>
      </c>
      <c r="J136" s="27"/>
    </row>
    <row r="137" spans="1:16" ht="14.4" hidden="1" x14ac:dyDescent="0.3">
      <c r="A137" s="46" t="s">
        <v>8</v>
      </c>
      <c r="J137" s="27"/>
    </row>
    <row r="138" spans="1:16" ht="14.4" hidden="1" x14ac:dyDescent="0.3">
      <c r="A138" s="46" t="s">
        <v>9</v>
      </c>
      <c r="J138" s="27"/>
    </row>
    <row r="139" spans="1:16" ht="14.4" hidden="1" x14ac:dyDescent="0.3">
      <c r="A139" s="46" t="s">
        <v>76</v>
      </c>
      <c r="J139" s="27"/>
    </row>
    <row r="140" spans="1:16" ht="13.8" hidden="1" x14ac:dyDescent="0.3">
      <c r="J140" s="27"/>
    </row>
    <row r="141" spans="1:16" ht="14.4" hidden="1" x14ac:dyDescent="0.3">
      <c r="A141" s="45"/>
      <c r="J141" s="27"/>
    </row>
    <row r="142" spans="1:16" ht="14.4" hidden="1" x14ac:dyDescent="0.3">
      <c r="A142" s="39" t="s">
        <v>73</v>
      </c>
      <c r="J142" s="27"/>
    </row>
    <row r="143" spans="1:16" ht="14.4" hidden="1" x14ac:dyDescent="0.3">
      <c r="A143" s="46" t="s">
        <v>5</v>
      </c>
      <c r="J143" s="27"/>
    </row>
    <row r="144" spans="1:16" ht="14.4" hidden="1" x14ac:dyDescent="0.3">
      <c r="A144" s="46" t="s">
        <v>6</v>
      </c>
      <c r="J144" s="27"/>
    </row>
    <row r="145" spans="1:18" ht="14.4" hidden="1" x14ac:dyDescent="0.3">
      <c r="A145" s="46" t="s">
        <v>7</v>
      </c>
      <c r="J145" s="27"/>
    </row>
    <row r="146" spans="1:18" ht="14.4" hidden="1" x14ac:dyDescent="0.3">
      <c r="A146" s="46" t="s">
        <v>8</v>
      </c>
      <c r="J146" s="27"/>
    </row>
    <row r="147" spans="1:18" ht="14.4" hidden="1" x14ac:dyDescent="0.3">
      <c r="A147" s="46" t="s">
        <v>9</v>
      </c>
      <c r="J147" s="27"/>
    </row>
    <row r="148" spans="1:18" ht="14.4" hidden="1" x14ac:dyDescent="0.3">
      <c r="A148" s="46" t="s">
        <v>76</v>
      </c>
      <c r="J148" s="27"/>
    </row>
    <row r="149" spans="1:18" ht="14.4" hidden="1" x14ac:dyDescent="0.3">
      <c r="A149" s="45"/>
      <c r="J149" s="27"/>
    </row>
    <row r="150" spans="1:18" ht="14.4" hidden="1" x14ac:dyDescent="0.3">
      <c r="A150" s="45"/>
      <c r="J150" s="27"/>
    </row>
    <row r="151" spans="1:18" ht="14.4" x14ac:dyDescent="0.3">
      <c r="A151" s="45"/>
      <c r="J151" s="27"/>
    </row>
    <row r="152" spans="1:18" ht="14.4" x14ac:dyDescent="0.3">
      <c r="A152" s="39" t="s">
        <v>77</v>
      </c>
      <c r="J152" s="27"/>
    </row>
    <row r="153" spans="1:18" ht="14.4" x14ac:dyDescent="0.3">
      <c r="A153" s="45"/>
      <c r="J153" s="27"/>
    </row>
    <row r="154" spans="1:18" s="25" customFormat="1" ht="14.4" x14ac:dyDescent="0.3">
      <c r="A154" s="68" t="s">
        <v>50</v>
      </c>
      <c r="B154" s="77">
        <f>SUM(B155:B160)</f>
        <v>6019.8600000000006</v>
      </c>
      <c r="C154" s="77">
        <f t="shared" ref="C154:P154" si="92">SUM(C155:C160)</f>
        <v>7316.45</v>
      </c>
      <c r="D154" s="77">
        <f t="shared" si="92"/>
        <v>8706.84</v>
      </c>
      <c r="E154" s="77">
        <f t="shared" si="92"/>
        <v>7979.18</v>
      </c>
      <c r="F154" s="77">
        <f t="shared" si="92"/>
        <v>8046.6999999999989</v>
      </c>
      <c r="G154" s="77">
        <f t="shared" si="92"/>
        <v>10695.64</v>
      </c>
      <c r="H154" s="77">
        <f t="shared" si="92"/>
        <v>9939.84</v>
      </c>
      <c r="I154" s="77">
        <f t="shared" si="92"/>
        <v>8691.2900000000009</v>
      </c>
      <c r="J154" s="77">
        <f t="shared" si="92"/>
        <v>9187.09</v>
      </c>
      <c r="K154" s="77">
        <f t="shared" si="92"/>
        <v>13074.157919218889</v>
      </c>
      <c r="L154" s="77">
        <f t="shared" si="92"/>
        <v>15919.927237101721</v>
      </c>
      <c r="M154" s="77">
        <f t="shared" si="92"/>
        <v>19435.430104032879</v>
      </c>
      <c r="N154" s="77">
        <f t="shared" si="92"/>
        <v>23749.335603830419</v>
      </c>
      <c r="O154" s="77">
        <f t="shared" si="92"/>
        <v>29040.671013922729</v>
      </c>
      <c r="P154" s="77">
        <f t="shared" si="92"/>
        <v>35396.962080421261</v>
      </c>
      <c r="R154" s="60"/>
    </row>
    <row r="155" spans="1:18" ht="14.4" x14ac:dyDescent="0.3">
      <c r="A155" s="60" t="s">
        <v>51</v>
      </c>
      <c r="B155" s="30">
        <f>B83</f>
        <v>672.98</v>
      </c>
      <c r="C155" s="30">
        <f t="shared" ref="C155:J155" si="93">C83</f>
        <v>656.31</v>
      </c>
      <c r="D155" s="30">
        <f t="shared" si="93"/>
        <v>823.58</v>
      </c>
      <c r="E155" s="30">
        <f t="shared" si="93"/>
        <v>1072.3699999999999</v>
      </c>
      <c r="F155" s="30">
        <f t="shared" si="93"/>
        <v>1091.97</v>
      </c>
      <c r="G155" s="30">
        <f t="shared" si="93"/>
        <v>1469.55</v>
      </c>
      <c r="H155" s="30">
        <f t="shared" si="93"/>
        <v>1122.6500000000001</v>
      </c>
      <c r="I155" s="30">
        <f t="shared" si="93"/>
        <v>1434.09</v>
      </c>
      <c r="J155" s="30">
        <f t="shared" si="93"/>
        <v>1443.76</v>
      </c>
      <c r="K155" s="30">
        <f>K$170*K174</f>
        <v>2017.8631679836842</v>
      </c>
      <c r="L155" s="30">
        <f t="shared" ref="L155:P155" si="94">L$170*L174</f>
        <v>2459.3604094091779</v>
      </c>
      <c r="M155" s="30">
        <f t="shared" si="94"/>
        <v>2999.330897740138</v>
      </c>
      <c r="N155" s="30">
        <f t="shared" si="94"/>
        <v>3660.0300476003422</v>
      </c>
      <c r="O155" s="30">
        <f t="shared" si="94"/>
        <v>4468.787549297539</v>
      </c>
      <c r="P155" s="30">
        <f t="shared" si="94"/>
        <v>5459.1710002428435</v>
      </c>
      <c r="R155" s="60"/>
    </row>
    <row r="156" spans="1:18" ht="14.4" x14ac:dyDescent="0.3">
      <c r="A156" s="60" t="s">
        <v>52</v>
      </c>
      <c r="B156" s="30">
        <f t="shared" ref="B156:J156" si="95">B84</f>
        <v>1282.8</v>
      </c>
      <c r="C156" s="30">
        <f t="shared" si="95"/>
        <v>1561.87</v>
      </c>
      <c r="D156" s="30">
        <f t="shared" si="95"/>
        <v>1520.18</v>
      </c>
      <c r="E156" s="30">
        <f t="shared" si="95"/>
        <v>2821.57</v>
      </c>
      <c r="F156" s="30">
        <f t="shared" si="95"/>
        <v>1603.14</v>
      </c>
      <c r="G156" s="30">
        <f t="shared" si="95"/>
        <v>2426.7600000000002</v>
      </c>
      <c r="H156" s="30">
        <f t="shared" si="95"/>
        <v>2304.27</v>
      </c>
      <c r="I156" s="30">
        <f t="shared" si="95"/>
        <v>2798.21</v>
      </c>
      <c r="J156" s="30">
        <f t="shared" si="95"/>
        <v>2703.44</v>
      </c>
      <c r="K156" s="30">
        <f t="shared" ref="K156:P156" si="96">K$170*K175</f>
        <v>4035.7263359673684</v>
      </c>
      <c r="L156" s="30">
        <f t="shared" si="96"/>
        <v>4918.7208188183558</v>
      </c>
      <c r="M156" s="30">
        <f t="shared" si="96"/>
        <v>5998.6617954802759</v>
      </c>
      <c r="N156" s="30">
        <f t="shared" si="96"/>
        <v>7320.0600952006844</v>
      </c>
      <c r="O156" s="30">
        <f t="shared" si="96"/>
        <v>8937.5750985950781</v>
      </c>
      <c r="P156" s="30">
        <f t="shared" si="96"/>
        <v>10918.342000485687</v>
      </c>
      <c r="R156" s="60"/>
    </row>
    <row r="157" spans="1:18" ht="14.4" x14ac:dyDescent="0.3">
      <c r="A157" s="60" t="s">
        <v>54</v>
      </c>
      <c r="B157" s="30">
        <f>B86</f>
        <v>23.12</v>
      </c>
      <c r="C157" s="30">
        <f t="shared" ref="C157:J157" si="97">C86</f>
        <v>24.18</v>
      </c>
      <c r="D157" s="30">
        <f t="shared" si="97"/>
        <v>27.56</v>
      </c>
      <c r="E157" s="30">
        <f t="shared" si="97"/>
        <v>25.03</v>
      </c>
      <c r="F157" s="30">
        <f t="shared" si="97"/>
        <v>22.36</v>
      </c>
      <c r="G157" s="30">
        <f t="shared" si="97"/>
        <v>22.95</v>
      </c>
      <c r="H157" s="30">
        <f t="shared" si="97"/>
        <v>22.81</v>
      </c>
      <c r="I157" s="30">
        <f t="shared" si="97"/>
        <v>23.71</v>
      </c>
      <c r="J157" s="30">
        <f t="shared" si="97"/>
        <v>24.56</v>
      </c>
      <c r="K157" s="30">
        <f t="shared" ref="K157:P157" si="98">K$170*K176</f>
        <v>33.078205014934483</v>
      </c>
      <c r="L157" s="30">
        <f t="shared" si="98"/>
        <v>40.315532350659254</v>
      </c>
      <c r="M157" s="30">
        <f t="shared" si="98"/>
        <v>49.167101078618821</v>
      </c>
      <c r="N157" s="30">
        <f t="shared" si="98"/>
        <v>59.997737307589063</v>
      </c>
      <c r="O157" s="30">
        <f t="shared" si="98"/>
        <v>73.255448173701865</v>
      </c>
      <c r="P157" s="30">
        <f t="shared" si="98"/>
        <v>89.49049688936978</v>
      </c>
      <c r="R157" s="60"/>
    </row>
    <row r="158" spans="1:18" ht="14.4" x14ac:dyDescent="0.3">
      <c r="A158" s="60" t="s">
        <v>55</v>
      </c>
      <c r="B158" s="30">
        <f>B87</f>
        <v>549.57000000000005</v>
      </c>
      <c r="C158" s="30">
        <f t="shared" ref="C158:J158" si="99">C87</f>
        <v>388.29</v>
      </c>
      <c r="D158" s="30">
        <f t="shared" si="99"/>
        <v>205.03</v>
      </c>
      <c r="E158" s="30">
        <f t="shared" si="99"/>
        <v>239.22</v>
      </c>
      <c r="F158" s="30">
        <f t="shared" si="99"/>
        <v>280.14</v>
      </c>
      <c r="G158" s="30">
        <f t="shared" si="99"/>
        <v>213.37</v>
      </c>
      <c r="H158" s="30">
        <f t="shared" si="99"/>
        <v>197.65</v>
      </c>
      <c r="I158" s="30">
        <f t="shared" si="99"/>
        <v>235.07</v>
      </c>
      <c r="J158" s="30">
        <f t="shared" si="99"/>
        <v>457.3</v>
      </c>
      <c r="K158" s="30">
        <f t="shared" ref="K158:P158" si="100">K$170*K177</f>
        <v>429.434914305929</v>
      </c>
      <c r="L158" s="30">
        <f t="shared" si="100"/>
        <v>508.60914594370206</v>
      </c>
      <c r="M158" s="30">
        <f t="shared" si="100"/>
        <v>640.44489207839752</v>
      </c>
      <c r="N158" s="30">
        <f t="shared" si="100"/>
        <v>814.15006902069422</v>
      </c>
      <c r="O158" s="30">
        <f t="shared" si="100"/>
        <v>1037.4933826394094</v>
      </c>
      <c r="P158" s="30">
        <f t="shared" si="100"/>
        <v>1187.6528320141235</v>
      </c>
      <c r="R158" s="60"/>
    </row>
    <row r="159" spans="1:18" ht="14.4" x14ac:dyDescent="0.3">
      <c r="A159" s="60" t="s">
        <v>56</v>
      </c>
      <c r="B159" s="30">
        <f>B88</f>
        <v>0</v>
      </c>
      <c r="C159" s="30">
        <f t="shared" ref="C159:J159" si="101">C88</f>
        <v>0</v>
      </c>
      <c r="D159" s="30">
        <f t="shared" si="101"/>
        <v>0</v>
      </c>
      <c r="E159" s="30">
        <f t="shared" si="101"/>
        <v>0</v>
      </c>
      <c r="F159" s="30">
        <f t="shared" si="101"/>
        <v>0</v>
      </c>
      <c r="G159" s="30">
        <f t="shared" si="101"/>
        <v>0</v>
      </c>
      <c r="H159" s="30">
        <f t="shared" si="101"/>
        <v>0</v>
      </c>
      <c r="I159" s="30">
        <f t="shared" si="101"/>
        <v>0</v>
      </c>
      <c r="J159" s="30">
        <f t="shared" si="101"/>
        <v>0</v>
      </c>
      <c r="K159" s="30">
        <f t="shared" ref="K159:P159" si="102">K$170*K178</f>
        <v>0</v>
      </c>
      <c r="L159" s="30">
        <f t="shared" si="102"/>
        <v>0</v>
      </c>
      <c r="M159" s="30">
        <f t="shared" si="102"/>
        <v>0</v>
      </c>
      <c r="N159" s="30">
        <f t="shared" si="102"/>
        <v>0</v>
      </c>
      <c r="O159" s="30">
        <f t="shared" si="102"/>
        <v>0</v>
      </c>
      <c r="P159" s="30">
        <f t="shared" si="102"/>
        <v>0</v>
      </c>
      <c r="R159" s="60"/>
    </row>
    <row r="160" spans="1:18" ht="14.4" x14ac:dyDescent="0.3">
      <c r="A160" s="46" t="s">
        <v>46</v>
      </c>
      <c r="B160" s="30">
        <f>B89+B90</f>
        <v>3491.3900000000003</v>
      </c>
      <c r="C160" s="30">
        <f t="shared" ref="C160:J160" si="103">C89+C90</f>
        <v>4685.8</v>
      </c>
      <c r="D160" s="30">
        <f t="shared" si="103"/>
        <v>6130.49</v>
      </c>
      <c r="E160" s="30">
        <f t="shared" si="103"/>
        <v>3820.99</v>
      </c>
      <c r="F160" s="30">
        <f t="shared" si="103"/>
        <v>5049.0899999999992</v>
      </c>
      <c r="G160" s="30">
        <f t="shared" si="103"/>
        <v>6563.01</v>
      </c>
      <c r="H160" s="30">
        <f t="shared" si="103"/>
        <v>6292.46</v>
      </c>
      <c r="I160" s="30">
        <f t="shared" si="103"/>
        <v>4200.21</v>
      </c>
      <c r="J160" s="30">
        <f t="shared" si="103"/>
        <v>4558.0300000000007</v>
      </c>
      <c r="K160" s="30">
        <f t="shared" ref="K160:P160" si="104">K$170*K179</f>
        <v>6558.0552959469733</v>
      </c>
      <c r="L160" s="30">
        <f t="shared" si="104"/>
        <v>7992.9213305798276</v>
      </c>
      <c r="M160" s="30">
        <f t="shared" si="104"/>
        <v>9747.8254176554492</v>
      </c>
      <c r="N160" s="30">
        <f t="shared" si="104"/>
        <v>11895.097654701112</v>
      </c>
      <c r="O160" s="30">
        <f t="shared" si="104"/>
        <v>14523.559535217002</v>
      </c>
      <c r="P160" s="30">
        <f t="shared" si="104"/>
        <v>17742.305750789241</v>
      </c>
      <c r="R160" s="60"/>
    </row>
    <row r="161" spans="1:18" ht="14.4" x14ac:dyDescent="0.3">
      <c r="A161" s="45"/>
      <c r="J161" s="27"/>
      <c r="R161" s="46"/>
    </row>
    <row r="162" spans="1:18" s="25" customFormat="1" ht="14.4" x14ac:dyDescent="0.3">
      <c r="A162" s="68" t="s">
        <v>32</v>
      </c>
      <c r="B162" s="78">
        <f>SUM(B163:B168)</f>
        <v>3448.3199999999997</v>
      </c>
      <c r="C162" s="78">
        <f t="shared" ref="C162:P162" si="105">SUM(C163:C168)</f>
        <v>4093.3300000000004</v>
      </c>
      <c r="D162" s="78">
        <f t="shared" si="105"/>
        <v>4343.3200000000006</v>
      </c>
      <c r="E162" s="78">
        <f t="shared" si="105"/>
        <v>4130.3600000000006</v>
      </c>
      <c r="F162" s="78">
        <f t="shared" si="105"/>
        <v>3976.0599999999995</v>
      </c>
      <c r="G162" s="78">
        <f t="shared" si="105"/>
        <v>6110.61</v>
      </c>
      <c r="H162" s="78">
        <f t="shared" si="105"/>
        <v>5072.38</v>
      </c>
      <c r="I162" s="78">
        <f t="shared" si="105"/>
        <v>5623.9800000000005</v>
      </c>
      <c r="J162" s="78">
        <f t="shared" si="105"/>
        <v>6544.26</v>
      </c>
      <c r="K162" s="78">
        <f t="shared" si="105"/>
        <v>8935.5168024846262</v>
      </c>
      <c r="L162" s="78">
        <f t="shared" si="105"/>
        <v>10890.558195578731</v>
      </c>
      <c r="M162" s="78">
        <f t="shared" si="105"/>
        <v>13281.659558585588</v>
      </c>
      <c r="N162" s="78">
        <f t="shared" si="105"/>
        <v>16207.37248532597</v>
      </c>
      <c r="O162" s="78">
        <f t="shared" si="105"/>
        <v>19788.718515231416</v>
      </c>
      <c r="P162" s="78">
        <f t="shared" si="105"/>
        <v>24174.341934715936</v>
      </c>
    </row>
    <row r="163" spans="1:18" ht="14.4" x14ac:dyDescent="0.3">
      <c r="A163" s="46"/>
      <c r="J163" s="27"/>
      <c r="Q163" s="46"/>
    </row>
    <row r="164" spans="1:18" ht="14.4" x14ac:dyDescent="0.3">
      <c r="A164" s="46" t="s">
        <v>33</v>
      </c>
      <c r="B164" s="30">
        <f>B58</f>
        <v>0</v>
      </c>
      <c r="C164" s="30">
        <f t="shared" ref="C164:J164" si="106">C58</f>
        <v>0</v>
      </c>
      <c r="D164" s="30">
        <f t="shared" si="106"/>
        <v>0</v>
      </c>
      <c r="E164" s="30">
        <f t="shared" si="106"/>
        <v>0</v>
      </c>
      <c r="F164" s="30">
        <f t="shared" si="106"/>
        <v>28.29</v>
      </c>
      <c r="G164" s="30">
        <f t="shared" si="106"/>
        <v>19.7</v>
      </c>
      <c r="H164" s="30">
        <f t="shared" si="106"/>
        <v>25.75</v>
      </c>
      <c r="I164" s="30">
        <f t="shared" si="106"/>
        <v>22.02</v>
      </c>
      <c r="J164" s="30">
        <f t="shared" si="106"/>
        <v>26.08</v>
      </c>
      <c r="K164" s="30">
        <f>K$170*K183</f>
        <v>35.125390341591668</v>
      </c>
      <c r="L164" s="30">
        <f t="shared" ref="L164:P164" si="107">L$170*L183</f>
        <v>42.810630444022536</v>
      </c>
      <c r="M164" s="30">
        <f t="shared" si="107"/>
        <v>52.210016129087087</v>
      </c>
      <c r="N164" s="30">
        <f t="shared" si="107"/>
        <v>63.710952320110863</v>
      </c>
      <c r="O164" s="30">
        <f t="shared" si="107"/>
        <v>77.789172979240433</v>
      </c>
      <c r="P164" s="30">
        <f t="shared" si="107"/>
        <v>95.028996696855216</v>
      </c>
      <c r="Q164" s="46"/>
    </row>
    <row r="165" spans="1:18" ht="14.4" x14ac:dyDescent="0.3">
      <c r="A165" s="46" t="s">
        <v>34</v>
      </c>
      <c r="B165" s="30">
        <f>B59</f>
        <v>2650.56</v>
      </c>
      <c r="C165" s="30">
        <f t="shared" ref="C165:J165" si="108">C59</f>
        <v>3247.27</v>
      </c>
      <c r="D165" s="30">
        <f t="shared" si="108"/>
        <v>3318.81</v>
      </c>
      <c r="E165" s="30">
        <f t="shared" si="108"/>
        <v>3355.28</v>
      </c>
      <c r="F165" s="30">
        <f t="shared" si="108"/>
        <v>3030.5099999999998</v>
      </c>
      <c r="G165" s="30">
        <f t="shared" si="108"/>
        <v>5205</v>
      </c>
      <c r="H165" s="30">
        <f t="shared" si="108"/>
        <v>4260.34</v>
      </c>
      <c r="I165" s="30">
        <f t="shared" si="108"/>
        <v>4704.46</v>
      </c>
      <c r="J165" s="30">
        <f t="shared" si="108"/>
        <v>5528.15</v>
      </c>
      <c r="K165" s="30">
        <f t="shared" ref="K165:P165" si="109">K$170*K184</f>
        <v>7566.986879938815</v>
      </c>
      <c r="L165" s="30">
        <f t="shared" si="109"/>
        <v>9222.6015352844151</v>
      </c>
      <c r="M165" s="30">
        <f t="shared" si="109"/>
        <v>11247.490866525517</v>
      </c>
      <c r="N165" s="30">
        <f t="shared" si="109"/>
        <v>13725.112678501282</v>
      </c>
      <c r="O165" s="30">
        <f t="shared" si="109"/>
        <v>16757.95330986577</v>
      </c>
      <c r="P165" s="30">
        <f t="shared" si="109"/>
        <v>20471.891250910663</v>
      </c>
      <c r="Q165" s="46"/>
    </row>
    <row r="166" spans="1:18" ht="14.4" x14ac:dyDescent="0.3">
      <c r="A166" s="46" t="s">
        <v>35</v>
      </c>
      <c r="B166" s="30">
        <f>B60</f>
        <v>502.4</v>
      </c>
      <c r="C166" s="30">
        <f t="shared" ref="C166:J166" si="110">C60</f>
        <v>454.28</v>
      </c>
      <c r="D166" s="30">
        <f t="shared" si="110"/>
        <v>762.58</v>
      </c>
      <c r="E166" s="30">
        <f t="shared" si="110"/>
        <v>495.18</v>
      </c>
      <c r="F166" s="30">
        <f t="shared" si="110"/>
        <v>518.26</v>
      </c>
      <c r="G166" s="30">
        <f t="shared" si="110"/>
        <v>566.01</v>
      </c>
      <c r="H166" s="30">
        <f t="shared" si="110"/>
        <v>492.12</v>
      </c>
      <c r="I166" s="30">
        <f t="shared" si="110"/>
        <v>557.84</v>
      </c>
      <c r="J166" s="30">
        <f t="shared" si="110"/>
        <v>585.6</v>
      </c>
      <c r="K166" s="30">
        <f t="shared" ref="K166:P166" si="111">K$170*K185</f>
        <v>788.70508374371491</v>
      </c>
      <c r="L166" s="30">
        <f t="shared" si="111"/>
        <v>961.26937070627298</v>
      </c>
      <c r="M166" s="30">
        <f t="shared" si="111"/>
        <v>1172.3230615488267</v>
      </c>
      <c r="N166" s="30">
        <f t="shared" si="111"/>
        <v>1430.5649416662932</v>
      </c>
      <c r="O166" s="30">
        <f t="shared" si="111"/>
        <v>1746.6771356074846</v>
      </c>
      <c r="P166" s="30">
        <f t="shared" si="111"/>
        <v>2133.7799258312275</v>
      </c>
      <c r="Q166" s="46"/>
    </row>
    <row r="167" spans="1:18" ht="14.4" x14ac:dyDescent="0.3">
      <c r="A167" s="46" t="s">
        <v>36</v>
      </c>
      <c r="B167" s="30">
        <f>B61</f>
        <v>29.66</v>
      </c>
      <c r="C167" s="30">
        <f t="shared" ref="C167:J167" si="112">C61</f>
        <v>39.01</v>
      </c>
      <c r="D167" s="30">
        <f t="shared" si="112"/>
        <v>59.79</v>
      </c>
      <c r="E167" s="30">
        <f t="shared" si="112"/>
        <v>59.03</v>
      </c>
      <c r="F167" s="30">
        <f t="shared" si="112"/>
        <v>146.56</v>
      </c>
      <c r="G167" s="30">
        <f t="shared" si="112"/>
        <v>160.37</v>
      </c>
      <c r="H167" s="30">
        <f t="shared" si="112"/>
        <v>160.41999999999999</v>
      </c>
      <c r="I167" s="30">
        <f t="shared" si="112"/>
        <v>175.69</v>
      </c>
      <c r="J167" s="30">
        <f t="shared" si="112"/>
        <v>154.13999999999999</v>
      </c>
      <c r="K167" s="30">
        <f t="shared" ref="K167:P167" si="113">K$170*K186</f>
        <v>207.60075411245936</v>
      </c>
      <c r="L167" s="30">
        <f t="shared" si="113"/>
        <v>253.02264480987859</v>
      </c>
      <c r="M167" s="30">
        <f t="shared" si="113"/>
        <v>308.5756091310385</v>
      </c>
      <c r="N167" s="30">
        <f t="shared" si="113"/>
        <v>376.54931712507243</v>
      </c>
      <c r="O167" s="30">
        <f t="shared" si="113"/>
        <v>459.75548784586346</v>
      </c>
      <c r="P167" s="30">
        <f t="shared" si="113"/>
        <v>561.64760547750234</v>
      </c>
      <c r="Q167" s="46"/>
    </row>
    <row r="168" spans="1:18" ht="14.4" x14ac:dyDescent="0.3">
      <c r="A168" s="46" t="s">
        <v>37</v>
      </c>
      <c r="B168" s="30">
        <f>B62</f>
        <v>265.7</v>
      </c>
      <c r="C168" s="30">
        <f t="shared" ref="C168:J168" si="114">C62</f>
        <v>352.77</v>
      </c>
      <c r="D168" s="30">
        <f t="shared" si="114"/>
        <v>202.14</v>
      </c>
      <c r="E168" s="30">
        <f t="shared" si="114"/>
        <v>220.87</v>
      </c>
      <c r="F168" s="30">
        <f t="shared" si="114"/>
        <v>252.44</v>
      </c>
      <c r="G168" s="30">
        <f t="shared" si="114"/>
        <v>159.53</v>
      </c>
      <c r="H168" s="30">
        <f t="shared" si="114"/>
        <v>133.75</v>
      </c>
      <c r="I168" s="30">
        <f t="shared" si="114"/>
        <v>163.97</v>
      </c>
      <c r="J168" s="30">
        <f t="shared" si="114"/>
        <v>250.29</v>
      </c>
      <c r="K168" s="30">
        <f t="shared" ref="K168:P168" si="115">K$170*K187</f>
        <v>337.09869434804369</v>
      </c>
      <c r="L168" s="30">
        <f t="shared" si="115"/>
        <v>410.85401433414114</v>
      </c>
      <c r="M168" s="30">
        <f t="shared" si="115"/>
        <v>501.06000525111989</v>
      </c>
      <c r="N168" s="30">
        <f t="shared" si="115"/>
        <v>611.43459571321125</v>
      </c>
      <c r="O168" s="30">
        <f t="shared" si="115"/>
        <v>746.5434089330555</v>
      </c>
      <c r="P168" s="30">
        <f t="shared" si="115"/>
        <v>911.99415579968911</v>
      </c>
    </row>
    <row r="169" spans="1:18" ht="14.4" x14ac:dyDescent="0.3">
      <c r="A169" s="45"/>
      <c r="J169" s="27"/>
    </row>
    <row r="170" spans="1:18" s="25" customFormat="1" ht="14.4" x14ac:dyDescent="0.3">
      <c r="A170" s="39" t="s">
        <v>79</v>
      </c>
      <c r="B170" s="77">
        <f>B3</f>
        <v>30700.880000000001</v>
      </c>
      <c r="C170" s="77">
        <f t="shared" ref="C170:P170" si="116">C3</f>
        <v>30871.59</v>
      </c>
      <c r="D170" s="77">
        <f t="shared" si="116"/>
        <v>32871.82</v>
      </c>
      <c r="E170" s="77">
        <f t="shared" si="116"/>
        <v>33650.54</v>
      </c>
      <c r="F170" s="77">
        <f t="shared" si="116"/>
        <v>28836.09</v>
      </c>
      <c r="G170" s="77">
        <f t="shared" si="116"/>
        <v>30800.62</v>
      </c>
      <c r="H170" s="77">
        <f t="shared" si="116"/>
        <v>29245.47</v>
      </c>
      <c r="I170" s="77">
        <f t="shared" si="116"/>
        <v>33805.65</v>
      </c>
      <c r="J170" s="77">
        <f t="shared" si="116"/>
        <v>37455.72</v>
      </c>
      <c r="K170" s="77">
        <f t="shared" si="116"/>
        <v>50446.579199592103</v>
      </c>
      <c r="L170" s="77">
        <f t="shared" si="116"/>
        <v>61484.010235229442</v>
      </c>
      <c r="M170" s="77">
        <f t="shared" si="116"/>
        <v>74983.272443503447</v>
      </c>
      <c r="N170" s="77">
        <f t="shared" si="116"/>
        <v>91500.751190008552</v>
      </c>
      <c r="O170" s="77">
        <f t="shared" si="116"/>
        <v>111719.68873243847</v>
      </c>
      <c r="P170" s="77">
        <f t="shared" si="116"/>
        <v>136479.27500607108</v>
      </c>
    </row>
    <row r="171" spans="1:18" ht="14.4" x14ac:dyDescent="0.3">
      <c r="A171" s="45"/>
      <c r="J171" s="27"/>
    </row>
    <row r="172" spans="1:18" ht="14.4" x14ac:dyDescent="0.3">
      <c r="A172" s="39" t="s">
        <v>80</v>
      </c>
      <c r="J172" s="27"/>
    </row>
    <row r="173" spans="1:18" s="25" customFormat="1" ht="14.4" x14ac:dyDescent="0.3">
      <c r="A173" s="68" t="s">
        <v>50</v>
      </c>
      <c r="J173" s="52"/>
    </row>
    <row r="174" spans="1:18" ht="14.4" x14ac:dyDescent="0.3">
      <c r="A174" s="60" t="s">
        <v>51</v>
      </c>
      <c r="B174" s="33">
        <f>B155/B$170</f>
        <v>2.192054429710158E-2</v>
      </c>
      <c r="C174" s="33">
        <f t="shared" ref="C174:J174" si="117">C155/C$170</f>
        <v>2.1259352045035578E-2</v>
      </c>
      <c r="D174" s="33">
        <f t="shared" si="117"/>
        <v>2.5054286619968107E-2</v>
      </c>
      <c r="E174" s="33">
        <f t="shared" si="117"/>
        <v>3.1867839267958255E-2</v>
      </c>
      <c r="F174" s="33">
        <f t="shared" si="117"/>
        <v>3.7868171447654655E-2</v>
      </c>
      <c r="G174" s="33">
        <f t="shared" si="117"/>
        <v>4.7711701907299266E-2</v>
      </c>
      <c r="H174" s="33">
        <f t="shared" si="117"/>
        <v>3.8387141666726507E-2</v>
      </c>
      <c r="I174" s="33">
        <f t="shared" si="117"/>
        <v>4.2421607039060033E-2</v>
      </c>
      <c r="J174" s="33">
        <f t="shared" si="117"/>
        <v>3.8545781525491964E-2</v>
      </c>
      <c r="K174" s="79">
        <v>0.04</v>
      </c>
      <c r="L174" s="80">
        <v>0.04</v>
      </c>
      <c r="M174" s="80">
        <v>0.04</v>
      </c>
      <c r="N174" s="80">
        <v>0.04</v>
      </c>
      <c r="O174" s="80">
        <v>0.04</v>
      </c>
      <c r="P174" s="80">
        <v>0.04</v>
      </c>
    </row>
    <row r="175" spans="1:18" ht="14.4" x14ac:dyDescent="0.3">
      <c r="A175" s="60" t="s">
        <v>52</v>
      </c>
      <c r="B175" s="33">
        <f t="shared" ref="B175:J175" si="118">B156/B$170</f>
        <v>4.178381857458157E-2</v>
      </c>
      <c r="C175" s="33">
        <f t="shared" si="118"/>
        <v>5.0592470293885083E-2</v>
      </c>
      <c r="D175" s="33">
        <f t="shared" si="118"/>
        <v>4.6245690077397601E-2</v>
      </c>
      <c r="E175" s="33">
        <f t="shared" si="118"/>
        <v>8.3849174485758626E-2</v>
      </c>
      <c r="F175" s="33">
        <f t="shared" si="118"/>
        <v>5.559491595427813E-2</v>
      </c>
      <c r="G175" s="33">
        <f t="shared" si="118"/>
        <v>7.878932307206804E-2</v>
      </c>
      <c r="H175" s="33">
        <f t="shared" si="118"/>
        <v>7.8790663990012805E-2</v>
      </c>
      <c r="I175" s="33">
        <f t="shared" si="118"/>
        <v>8.2773441717582705E-2</v>
      </c>
      <c r="J175" s="33">
        <f t="shared" si="118"/>
        <v>7.2176959887568573E-2</v>
      </c>
      <c r="K175" s="81">
        <v>0.08</v>
      </c>
      <c r="L175" s="82">
        <v>0.08</v>
      </c>
      <c r="M175" s="82">
        <v>0.08</v>
      </c>
      <c r="N175" s="82">
        <v>0.08</v>
      </c>
      <c r="O175" s="82">
        <v>0.08</v>
      </c>
      <c r="P175" s="82">
        <v>0.08</v>
      </c>
    </row>
    <row r="176" spans="1:18" ht="14.4" x14ac:dyDescent="0.3">
      <c r="A176" s="60" t="s">
        <v>54</v>
      </c>
      <c r="B176" s="33">
        <f t="shared" ref="B176:J176" si="119">B157/B$170</f>
        <v>7.5307287608693957E-4</v>
      </c>
      <c r="C176" s="33">
        <f t="shared" si="119"/>
        <v>7.8324440043418559E-4</v>
      </c>
      <c r="D176" s="33">
        <f t="shared" si="119"/>
        <v>8.3840809544466965E-4</v>
      </c>
      <c r="E176" s="33">
        <f t="shared" si="119"/>
        <v>7.4382164446692392E-4</v>
      </c>
      <c r="F176" s="33">
        <f t="shared" si="119"/>
        <v>7.7541719421738515E-4</v>
      </c>
      <c r="G176" s="33">
        <f t="shared" si="119"/>
        <v>7.4511487106428381E-4</v>
      </c>
      <c r="H176" s="33">
        <f t="shared" si="119"/>
        <v>7.7994985206255869E-4</v>
      </c>
      <c r="I176" s="33">
        <f t="shared" si="119"/>
        <v>7.0136205042648197E-4</v>
      </c>
      <c r="J176" s="33">
        <f t="shared" si="119"/>
        <v>6.5570759285898115E-4</v>
      </c>
      <c r="K176" s="80">
        <f>J176</f>
        <v>6.5570759285898115E-4</v>
      </c>
      <c r="L176" s="80">
        <f t="shared" ref="L176:P176" si="120">K176</f>
        <v>6.5570759285898115E-4</v>
      </c>
      <c r="M176" s="80">
        <f t="shared" si="120"/>
        <v>6.5570759285898115E-4</v>
      </c>
      <c r="N176" s="80">
        <f t="shared" si="120"/>
        <v>6.5570759285898115E-4</v>
      </c>
      <c r="O176" s="80">
        <f t="shared" si="120"/>
        <v>6.5570759285898115E-4</v>
      </c>
      <c r="P176" s="80">
        <f t="shared" si="120"/>
        <v>6.5570759285898115E-4</v>
      </c>
    </row>
    <row r="177" spans="1:16" ht="14.4" x14ac:dyDescent="0.3">
      <c r="A177" s="60" t="s">
        <v>55</v>
      </c>
      <c r="B177" s="33">
        <f t="shared" ref="B177:J177" si="121">B158/B$170</f>
        <v>1.7900789814493917E-2</v>
      </c>
      <c r="C177" s="33">
        <f t="shared" si="121"/>
        <v>1.2577583467518194E-2</v>
      </c>
      <c r="D177" s="33">
        <f t="shared" si="121"/>
        <v>6.237257322533404E-3</v>
      </c>
      <c r="E177" s="33">
        <f t="shared" si="121"/>
        <v>7.1089498118009397E-3</v>
      </c>
      <c r="F177" s="33">
        <f t="shared" si="121"/>
        <v>9.71490933756969E-3</v>
      </c>
      <c r="G177" s="33">
        <f t="shared" si="121"/>
        <v>6.9274579537684632E-3</v>
      </c>
      <c r="H177" s="33">
        <f t="shared" si="121"/>
        <v>6.7583116291172612E-3</v>
      </c>
      <c r="I177" s="33">
        <f t="shared" si="121"/>
        <v>6.953571370466179E-3</v>
      </c>
      <c r="J177" s="33">
        <f t="shared" si="121"/>
        <v>1.2209083152052611E-2</v>
      </c>
      <c r="K177" s="79">
        <f>AVERAGE(F177:J177)</f>
        <v>8.5126666885948395E-3</v>
      </c>
      <c r="L177" s="80">
        <f t="shared" ref="L177:P177" si="122">AVERAGE(G177:K177)</f>
        <v>8.2722181587998704E-3</v>
      </c>
      <c r="M177" s="80">
        <f t="shared" si="122"/>
        <v>8.5411701998061532E-3</v>
      </c>
      <c r="N177" s="80">
        <f t="shared" si="122"/>
        <v>8.8977419139439316E-3</v>
      </c>
      <c r="O177" s="80">
        <f t="shared" si="122"/>
        <v>9.2865760226394818E-3</v>
      </c>
      <c r="P177" s="80">
        <f t="shared" si="122"/>
        <v>8.7020745967568529E-3</v>
      </c>
    </row>
    <row r="178" spans="1:16" ht="14.4" x14ac:dyDescent="0.3">
      <c r="A178" s="60" t="s">
        <v>56</v>
      </c>
      <c r="B178" s="33">
        <f t="shared" ref="B178:J178" si="123">B159/B$170</f>
        <v>0</v>
      </c>
      <c r="C178" s="33">
        <f t="shared" si="123"/>
        <v>0</v>
      </c>
      <c r="D178" s="33">
        <f t="shared" si="123"/>
        <v>0</v>
      </c>
      <c r="E178" s="33">
        <f t="shared" si="123"/>
        <v>0</v>
      </c>
      <c r="F178" s="33">
        <f t="shared" si="123"/>
        <v>0</v>
      </c>
      <c r="G178" s="33">
        <f t="shared" si="123"/>
        <v>0</v>
      </c>
      <c r="H178" s="33">
        <f t="shared" si="123"/>
        <v>0</v>
      </c>
      <c r="I178" s="33">
        <f t="shared" si="123"/>
        <v>0</v>
      </c>
      <c r="J178" s="33">
        <f t="shared" si="123"/>
        <v>0</v>
      </c>
      <c r="K178" s="80">
        <f>J178</f>
        <v>0</v>
      </c>
      <c r="L178" s="80">
        <f t="shared" ref="L178:P179" si="124">K178</f>
        <v>0</v>
      </c>
      <c r="M178" s="80">
        <f t="shared" si="124"/>
        <v>0</v>
      </c>
      <c r="N178" s="80">
        <f t="shared" si="124"/>
        <v>0</v>
      </c>
      <c r="O178" s="80">
        <f t="shared" si="124"/>
        <v>0</v>
      </c>
      <c r="P178" s="80">
        <f t="shared" si="124"/>
        <v>0</v>
      </c>
    </row>
    <row r="179" spans="1:16" ht="14.4" x14ac:dyDescent="0.3">
      <c r="A179" s="46" t="s">
        <v>46</v>
      </c>
      <c r="B179" s="33">
        <f t="shared" ref="B179:J179" si="125">B160/B$170</f>
        <v>0.11372279882531056</v>
      </c>
      <c r="C179" s="33">
        <f t="shared" si="125"/>
        <v>0.15178356540754784</v>
      </c>
      <c r="D179" s="33">
        <f t="shared" si="125"/>
        <v>0.18649682311475299</v>
      </c>
      <c r="E179" s="33">
        <f t="shared" si="125"/>
        <v>0.11354914363929969</v>
      </c>
      <c r="F179" s="33">
        <f t="shared" si="125"/>
        <v>0.17509620756489522</v>
      </c>
      <c r="G179" s="33">
        <f t="shared" si="125"/>
        <v>0.21308045097793488</v>
      </c>
      <c r="H179" s="33">
        <f t="shared" si="125"/>
        <v>0.21516015984697801</v>
      </c>
      <c r="I179" s="33">
        <f t="shared" si="125"/>
        <v>0.12424579914895882</v>
      </c>
      <c r="J179" s="33">
        <f t="shared" si="125"/>
        <v>0.12169115958790808</v>
      </c>
      <c r="K179" s="81">
        <v>0.13</v>
      </c>
      <c r="L179" s="82">
        <f>K179</f>
        <v>0.13</v>
      </c>
      <c r="M179" s="82">
        <f t="shared" si="124"/>
        <v>0.13</v>
      </c>
      <c r="N179" s="82">
        <f t="shared" si="124"/>
        <v>0.13</v>
      </c>
      <c r="O179" s="82">
        <f t="shared" si="124"/>
        <v>0.13</v>
      </c>
      <c r="P179" s="82">
        <f t="shared" si="124"/>
        <v>0.13</v>
      </c>
    </row>
    <row r="180" spans="1:16" ht="14.4" x14ac:dyDescent="0.3">
      <c r="A180" s="45"/>
      <c r="J180" s="27"/>
    </row>
    <row r="181" spans="1:16" s="25" customFormat="1" ht="14.4" x14ac:dyDescent="0.3">
      <c r="A181" s="68" t="s">
        <v>32</v>
      </c>
      <c r="I181" s="83"/>
      <c r="J181" s="84"/>
    </row>
    <row r="182" spans="1:16" ht="14.4" hidden="1" x14ac:dyDescent="0.3">
      <c r="A182" s="46" t="s">
        <v>78</v>
      </c>
      <c r="J182" s="27"/>
    </row>
    <row r="183" spans="1:16" ht="14.4" x14ac:dyDescent="0.3">
      <c r="A183" s="46" t="s">
        <v>33</v>
      </c>
      <c r="B183" s="33">
        <f>B164/B$170</f>
        <v>0</v>
      </c>
      <c r="C183" s="33">
        <f t="shared" ref="C183:J183" si="126">C164/C$170</f>
        <v>0</v>
      </c>
      <c r="D183" s="33">
        <f t="shared" si="126"/>
        <v>0</v>
      </c>
      <c r="E183" s="33">
        <f t="shared" si="126"/>
        <v>0</v>
      </c>
      <c r="F183" s="33">
        <f t="shared" si="126"/>
        <v>9.8106227300580632E-4</v>
      </c>
      <c r="G183" s="33">
        <f t="shared" si="126"/>
        <v>6.3959751459548536E-4</v>
      </c>
      <c r="H183" s="33">
        <f t="shared" si="126"/>
        <v>8.8047824158750052E-4</v>
      </c>
      <c r="I183" s="33">
        <f t="shared" si="126"/>
        <v>6.513704070177618E-4</v>
      </c>
      <c r="J183" s="33">
        <f t="shared" si="126"/>
        <v>6.9628884453429274E-4</v>
      </c>
      <c r="K183" s="80">
        <f>J183</f>
        <v>6.9628884453429274E-4</v>
      </c>
      <c r="L183" s="80">
        <f t="shared" ref="L183:P183" si="127">K183</f>
        <v>6.9628884453429274E-4</v>
      </c>
      <c r="M183" s="80">
        <f t="shared" si="127"/>
        <v>6.9628884453429274E-4</v>
      </c>
      <c r="N183" s="80">
        <f t="shared" si="127"/>
        <v>6.9628884453429274E-4</v>
      </c>
      <c r="O183" s="80">
        <f t="shared" si="127"/>
        <v>6.9628884453429274E-4</v>
      </c>
      <c r="P183" s="80">
        <f t="shared" si="127"/>
        <v>6.9628884453429274E-4</v>
      </c>
    </row>
    <row r="184" spans="1:16" ht="14.4" x14ac:dyDescent="0.3">
      <c r="A184" s="46" t="s">
        <v>34</v>
      </c>
      <c r="B184" s="33">
        <f t="shared" ref="B184:J184" si="128">B165/B$170</f>
        <v>8.6334984534645262E-2</v>
      </c>
      <c r="C184" s="33">
        <f t="shared" si="128"/>
        <v>0.10518635418519098</v>
      </c>
      <c r="D184" s="33">
        <f t="shared" si="128"/>
        <v>0.10096216151098418</v>
      </c>
      <c r="E184" s="33">
        <f t="shared" si="128"/>
        <v>9.9709544037034775E-2</v>
      </c>
      <c r="F184" s="33">
        <f t="shared" si="128"/>
        <v>0.10509434531519356</v>
      </c>
      <c r="G184" s="33">
        <f t="shared" si="128"/>
        <v>0.16899010474464476</v>
      </c>
      <c r="H184" s="33">
        <f t="shared" si="128"/>
        <v>0.14567521055397639</v>
      </c>
      <c r="I184" s="33">
        <f t="shared" si="128"/>
        <v>0.13916194482283287</v>
      </c>
      <c r="J184" s="33">
        <f t="shared" si="128"/>
        <v>0.1475916095058378</v>
      </c>
      <c r="K184" s="79">
        <v>0.15</v>
      </c>
      <c r="L184" s="80">
        <f>K184</f>
        <v>0.15</v>
      </c>
      <c r="M184" s="80">
        <f t="shared" ref="M184:P184" si="129">L184</f>
        <v>0.15</v>
      </c>
      <c r="N184" s="80">
        <f t="shared" si="129"/>
        <v>0.15</v>
      </c>
      <c r="O184" s="80">
        <f t="shared" si="129"/>
        <v>0.15</v>
      </c>
      <c r="P184" s="80">
        <f t="shared" si="129"/>
        <v>0.15</v>
      </c>
    </row>
    <row r="185" spans="1:16" ht="14.4" x14ac:dyDescent="0.3">
      <c r="A185" s="46" t="s">
        <v>35</v>
      </c>
      <c r="B185" s="33">
        <f t="shared" ref="B185:J185" si="130">B166/B$170</f>
        <v>1.6364351771024153E-2</v>
      </c>
      <c r="C185" s="33">
        <f t="shared" si="130"/>
        <v>1.4715147486734567E-2</v>
      </c>
      <c r="D185" s="33">
        <f t="shared" si="130"/>
        <v>2.3198593810747323E-2</v>
      </c>
      <c r="E185" s="33">
        <f t="shared" si="130"/>
        <v>1.471536563752023E-2</v>
      </c>
      <c r="F185" s="33">
        <f t="shared" si="130"/>
        <v>1.7972616953269321E-2</v>
      </c>
      <c r="G185" s="33">
        <f t="shared" si="130"/>
        <v>1.8376578133816789E-2</v>
      </c>
      <c r="H185" s="33">
        <f t="shared" si="130"/>
        <v>1.6827221446603525E-2</v>
      </c>
      <c r="I185" s="33">
        <f t="shared" si="130"/>
        <v>1.6501383644449967E-2</v>
      </c>
      <c r="J185" s="33">
        <f t="shared" si="130"/>
        <v>1.5634461171751605E-2</v>
      </c>
      <c r="K185" s="80">
        <f>J185</f>
        <v>1.5634461171751605E-2</v>
      </c>
      <c r="L185" s="80">
        <f t="shared" ref="L185:P185" si="131">K185</f>
        <v>1.5634461171751605E-2</v>
      </c>
      <c r="M185" s="80">
        <f t="shared" si="131"/>
        <v>1.5634461171751605E-2</v>
      </c>
      <c r="N185" s="80">
        <f t="shared" si="131"/>
        <v>1.5634461171751605E-2</v>
      </c>
      <c r="O185" s="80">
        <f t="shared" si="131"/>
        <v>1.5634461171751605E-2</v>
      </c>
      <c r="P185" s="80">
        <f t="shared" si="131"/>
        <v>1.5634461171751605E-2</v>
      </c>
    </row>
    <row r="186" spans="1:16" ht="14.4" x14ac:dyDescent="0.3">
      <c r="A186" s="46" t="s">
        <v>36</v>
      </c>
      <c r="B186" s="33">
        <f t="shared" ref="B186:J186" si="132">B167/B$170</f>
        <v>9.6609608584509628E-4</v>
      </c>
      <c r="C186" s="33">
        <f t="shared" si="132"/>
        <v>1.2636213424705367E-3</v>
      </c>
      <c r="D186" s="33">
        <f t="shared" si="132"/>
        <v>1.8188831649723076E-3</v>
      </c>
      <c r="E186" s="33">
        <f t="shared" si="132"/>
        <v>1.7542066189725335E-3</v>
      </c>
      <c r="F186" s="33">
        <f t="shared" si="132"/>
        <v>5.0825198561940954E-3</v>
      </c>
      <c r="G186" s="33">
        <f t="shared" si="132"/>
        <v>5.206713371354213E-3</v>
      </c>
      <c r="H186" s="33">
        <f t="shared" si="132"/>
        <v>5.4852939617657023E-3</v>
      </c>
      <c r="I186" s="33">
        <f t="shared" si="132"/>
        <v>5.197060254720734E-3</v>
      </c>
      <c r="J186" s="33">
        <f t="shared" si="132"/>
        <v>4.1152592981792899E-3</v>
      </c>
      <c r="K186" s="80">
        <f>J186</f>
        <v>4.1152592981792899E-3</v>
      </c>
      <c r="L186" s="80">
        <f t="shared" ref="L186:P186" si="133">K186</f>
        <v>4.1152592981792899E-3</v>
      </c>
      <c r="M186" s="80">
        <f t="shared" si="133"/>
        <v>4.1152592981792899E-3</v>
      </c>
      <c r="N186" s="80">
        <f t="shared" si="133"/>
        <v>4.1152592981792899E-3</v>
      </c>
      <c r="O186" s="80">
        <f t="shared" si="133"/>
        <v>4.1152592981792899E-3</v>
      </c>
      <c r="P186" s="80">
        <f t="shared" si="133"/>
        <v>4.1152592981792899E-3</v>
      </c>
    </row>
    <row r="187" spans="1:16" ht="14.4" x14ac:dyDescent="0.3">
      <c r="A187" s="46" t="s">
        <v>37</v>
      </c>
      <c r="B187" s="33">
        <f t="shared" ref="B187:J187" si="134">B168/B$170</f>
        <v>8.6544750508780206E-3</v>
      </c>
      <c r="C187" s="33">
        <f t="shared" si="134"/>
        <v>1.1427011048021822E-2</v>
      </c>
      <c r="D187" s="33">
        <f t="shared" si="134"/>
        <v>6.1493400730473699E-3</v>
      </c>
      <c r="E187" s="33">
        <f t="shared" si="134"/>
        <v>6.5636390976192361E-3</v>
      </c>
      <c r="F187" s="33">
        <f t="shared" si="134"/>
        <v>8.7543075361465432E-3</v>
      </c>
      <c r="G187" s="33">
        <f t="shared" si="134"/>
        <v>5.1794411930668931E-3</v>
      </c>
      <c r="H187" s="33">
        <f t="shared" si="134"/>
        <v>4.5733578567894442E-3</v>
      </c>
      <c r="I187" s="33">
        <f t="shared" si="134"/>
        <v>4.8503726448093729E-3</v>
      </c>
      <c r="J187" s="33">
        <f t="shared" si="134"/>
        <v>6.6822904485616614E-3</v>
      </c>
      <c r="K187" s="80">
        <f>J187</f>
        <v>6.6822904485616614E-3</v>
      </c>
      <c r="L187" s="80">
        <f t="shared" ref="L187:P187" si="135">K187</f>
        <v>6.6822904485616614E-3</v>
      </c>
      <c r="M187" s="80">
        <f t="shared" si="135"/>
        <v>6.6822904485616614E-3</v>
      </c>
      <c r="N187" s="80">
        <f t="shared" si="135"/>
        <v>6.6822904485616614E-3</v>
      </c>
      <c r="O187" s="80">
        <f t="shared" si="135"/>
        <v>6.6822904485616614E-3</v>
      </c>
      <c r="P187" s="80">
        <f t="shared" si="135"/>
        <v>6.6822904485616614E-3</v>
      </c>
    </row>
    <row r="188" spans="1:16" ht="14.4" x14ac:dyDescent="0.3">
      <c r="A188" s="45"/>
      <c r="J188" s="27"/>
    </row>
    <row r="189" spans="1:16" s="25" customFormat="1" ht="14.4" x14ac:dyDescent="0.3">
      <c r="A189" s="39" t="s">
        <v>81</v>
      </c>
      <c r="B189" s="77">
        <f>B154-B162</f>
        <v>2571.5400000000009</v>
      </c>
      <c r="C189" s="77">
        <f t="shared" ref="C189:P189" si="136">C154-C162</f>
        <v>3223.1199999999994</v>
      </c>
      <c r="D189" s="77">
        <f t="shared" si="136"/>
        <v>4363.5199999999995</v>
      </c>
      <c r="E189" s="77">
        <f t="shared" si="136"/>
        <v>3848.8199999999997</v>
      </c>
      <c r="F189" s="77">
        <f t="shared" si="136"/>
        <v>4070.6399999999994</v>
      </c>
      <c r="G189" s="77">
        <f t="shared" si="136"/>
        <v>4585.03</v>
      </c>
      <c r="H189" s="77">
        <f t="shared" si="136"/>
        <v>4867.46</v>
      </c>
      <c r="I189" s="77">
        <f t="shared" si="136"/>
        <v>3067.3100000000004</v>
      </c>
      <c r="J189" s="77">
        <f t="shared" si="136"/>
        <v>2642.83</v>
      </c>
      <c r="K189" s="77">
        <f t="shared" si="136"/>
        <v>4138.6411167342631</v>
      </c>
      <c r="L189" s="77">
        <f t="shared" si="136"/>
        <v>5029.3690415229903</v>
      </c>
      <c r="M189" s="77">
        <f t="shared" si="136"/>
        <v>6153.7705454472907</v>
      </c>
      <c r="N189" s="77">
        <f t="shared" si="136"/>
        <v>7541.9631185044491</v>
      </c>
      <c r="O189" s="77">
        <f t="shared" si="136"/>
        <v>9251.9524986913129</v>
      </c>
      <c r="P189" s="77">
        <f t="shared" si="136"/>
        <v>11222.620145705325</v>
      </c>
    </row>
    <row r="190" spans="1:16" ht="14.4" x14ac:dyDescent="0.3">
      <c r="A190" s="46" t="s">
        <v>82</v>
      </c>
      <c r="C190" s="30">
        <f>C189-B189</f>
        <v>651.57999999999856</v>
      </c>
      <c r="D190" s="30">
        <f t="shared" ref="D190:P190" si="137">D189-C189</f>
        <v>1140.4000000000001</v>
      </c>
      <c r="E190" s="30">
        <f t="shared" si="137"/>
        <v>-514.69999999999982</v>
      </c>
      <c r="F190" s="30">
        <f t="shared" si="137"/>
        <v>221.81999999999971</v>
      </c>
      <c r="G190" s="30">
        <f t="shared" si="137"/>
        <v>514.39000000000033</v>
      </c>
      <c r="H190" s="30">
        <f t="shared" si="137"/>
        <v>282.43000000000029</v>
      </c>
      <c r="I190" s="30">
        <f t="shared" si="137"/>
        <v>-1800.1499999999996</v>
      </c>
      <c r="J190" s="30">
        <f t="shared" si="137"/>
        <v>-424.48000000000047</v>
      </c>
      <c r="K190" s="30">
        <f t="shared" si="137"/>
        <v>1495.8111167342631</v>
      </c>
      <c r="L190" s="30">
        <f t="shared" si="137"/>
        <v>890.72792478872725</v>
      </c>
      <c r="M190" s="30">
        <f t="shared" si="137"/>
        <v>1124.4015039243004</v>
      </c>
      <c r="N190" s="30">
        <f t="shared" si="137"/>
        <v>1388.1925730571584</v>
      </c>
      <c r="O190" s="30">
        <f t="shared" si="137"/>
        <v>1709.9893801868639</v>
      </c>
      <c r="P190" s="30">
        <f t="shared" si="137"/>
        <v>1970.6676470140119</v>
      </c>
    </row>
    <row r="191" spans="1:16" ht="14.4" x14ac:dyDescent="0.3">
      <c r="A191" s="45"/>
      <c r="J191" s="27"/>
    </row>
    <row r="192" spans="1:16" ht="14.4" x14ac:dyDescent="0.3">
      <c r="A192" s="45"/>
      <c r="J192" s="27"/>
    </row>
    <row r="193" spans="1:16" ht="14.4" x14ac:dyDescent="0.3">
      <c r="A193" s="39" t="s">
        <v>83</v>
      </c>
      <c r="J193" s="27"/>
    </row>
    <row r="194" spans="1:16" ht="14.4" x14ac:dyDescent="0.3">
      <c r="A194" s="45" t="s">
        <v>84</v>
      </c>
      <c r="B194" s="30">
        <f t="shared" ref="B194:J194" si="138">SUM(B69,B71,B72)</f>
        <v>3753.8</v>
      </c>
      <c r="C194" s="30">
        <f t="shared" si="138"/>
        <v>4581.45</v>
      </c>
      <c r="D194" s="30">
        <f t="shared" si="138"/>
        <v>4689.67</v>
      </c>
      <c r="E194" s="30">
        <f t="shared" si="138"/>
        <v>4838.2</v>
      </c>
      <c r="F194" s="30">
        <f t="shared" si="138"/>
        <v>6137.24</v>
      </c>
      <c r="G194" s="30">
        <f t="shared" si="138"/>
        <v>5876.0099999999993</v>
      </c>
      <c r="H194" s="30">
        <f t="shared" si="138"/>
        <v>5595.3</v>
      </c>
      <c r="I194" s="30">
        <f t="shared" si="138"/>
        <v>5389.78</v>
      </c>
      <c r="J194" s="30">
        <f t="shared" si="138"/>
        <v>5426.0599999999995</v>
      </c>
    </row>
    <row r="195" spans="1:16" ht="14.4" x14ac:dyDescent="0.3">
      <c r="A195" s="45" t="s">
        <v>85</v>
      </c>
      <c r="B195" s="30">
        <f t="shared" ref="B195:J195" si="139">SUM(B70,B73)</f>
        <v>435.95</v>
      </c>
      <c r="C195" s="30">
        <f t="shared" si="139"/>
        <v>279.19</v>
      </c>
      <c r="D195" s="30">
        <f t="shared" si="139"/>
        <v>283.26</v>
      </c>
      <c r="E195" s="30">
        <f t="shared" si="139"/>
        <v>322.24</v>
      </c>
      <c r="F195" s="30">
        <f t="shared" si="139"/>
        <v>321.11</v>
      </c>
      <c r="G195" s="30">
        <f t="shared" si="139"/>
        <v>548.99</v>
      </c>
      <c r="H195" s="30">
        <f t="shared" si="139"/>
        <v>669.38</v>
      </c>
      <c r="I195" s="30">
        <f t="shared" si="139"/>
        <v>835.43000000000006</v>
      </c>
      <c r="J195" s="30">
        <f t="shared" si="139"/>
        <v>888.48</v>
      </c>
    </row>
    <row r="196" spans="1:16" s="25" customFormat="1" ht="14.4" x14ac:dyDescent="0.3">
      <c r="A196" s="68" t="s">
        <v>38</v>
      </c>
      <c r="B196" s="77">
        <f>SUM(B194:B195)</f>
        <v>4189.75</v>
      </c>
      <c r="C196" s="77">
        <f t="shared" ref="C196:J196" si="140">SUM(C194:C195)</f>
        <v>4860.6399999999994</v>
      </c>
      <c r="D196" s="77">
        <f t="shared" si="140"/>
        <v>4972.93</v>
      </c>
      <c r="E196" s="77">
        <f t="shared" si="140"/>
        <v>5160.4399999999996</v>
      </c>
      <c r="F196" s="77">
        <f t="shared" si="140"/>
        <v>6458.3499999999995</v>
      </c>
      <c r="G196" s="77">
        <f t="shared" si="140"/>
        <v>6424.9999999999991</v>
      </c>
      <c r="H196" s="77">
        <f t="shared" si="140"/>
        <v>6264.68</v>
      </c>
      <c r="I196" s="77">
        <f t="shared" si="140"/>
        <v>6225.21</v>
      </c>
      <c r="J196" s="77">
        <f t="shared" si="140"/>
        <v>6314.5399999999991</v>
      </c>
      <c r="K196" s="77">
        <f>(K94*K198)/10^7</f>
        <v>7210</v>
      </c>
      <c r="L196" s="77">
        <f t="shared" ref="L196:P196" si="141">(L94*L198)/10^7</f>
        <v>7770</v>
      </c>
      <c r="M196" s="77">
        <f t="shared" si="141"/>
        <v>8330</v>
      </c>
      <c r="N196" s="77">
        <f t="shared" si="141"/>
        <v>8890</v>
      </c>
      <c r="O196" s="77">
        <f t="shared" si="141"/>
        <v>9450</v>
      </c>
      <c r="P196" s="77">
        <f t="shared" si="141"/>
        <v>10010</v>
      </c>
    </row>
    <row r="197" spans="1:16" ht="14.4" x14ac:dyDescent="0.3">
      <c r="A197" s="45"/>
      <c r="J197" s="27"/>
    </row>
    <row r="198" spans="1:16" s="25" customFormat="1" ht="14.4" x14ac:dyDescent="0.3">
      <c r="A198" s="68" t="s">
        <v>94</v>
      </c>
      <c r="B198" s="77">
        <f>(B196/B94)*10^7</f>
        <v>5172.5308641975307</v>
      </c>
      <c r="C198" s="77">
        <f t="shared" ref="C198:J198" si="142">(C196/C94)*10^7</f>
        <v>5341.3626373626366</v>
      </c>
      <c r="D198" s="77">
        <f t="shared" si="142"/>
        <v>5464.7582417582416</v>
      </c>
      <c r="E198" s="77">
        <f t="shared" si="142"/>
        <v>5733.8222222222221</v>
      </c>
      <c r="F198" s="77">
        <f t="shared" si="142"/>
        <v>7097.0879120879117</v>
      </c>
      <c r="G198" s="77">
        <f t="shared" si="142"/>
        <v>6763.1578947368416</v>
      </c>
      <c r="H198" s="77">
        <f t="shared" si="142"/>
        <v>6594.4000000000005</v>
      </c>
      <c r="I198" s="77">
        <f t="shared" si="142"/>
        <v>6552.8526315789468</v>
      </c>
      <c r="J198" s="77">
        <f t="shared" si="142"/>
        <v>6646.8842105263147</v>
      </c>
      <c r="K198" s="85">
        <v>7000</v>
      </c>
      <c r="L198" s="86">
        <f>K198</f>
        <v>7000</v>
      </c>
      <c r="M198" s="86">
        <f t="shared" ref="M198:P198" si="143">L198</f>
        <v>7000</v>
      </c>
      <c r="N198" s="86">
        <f t="shared" si="143"/>
        <v>7000</v>
      </c>
      <c r="O198" s="86">
        <f t="shared" si="143"/>
        <v>7000</v>
      </c>
      <c r="P198" s="86">
        <f t="shared" si="143"/>
        <v>7000</v>
      </c>
    </row>
    <row r="199" spans="1:16" ht="14.4" x14ac:dyDescent="0.3">
      <c r="A199" s="45"/>
      <c r="J199" s="27"/>
    </row>
    <row r="200" spans="1:16" ht="14.4" x14ac:dyDescent="0.3">
      <c r="A200" s="45" t="s">
        <v>86</v>
      </c>
      <c r="J200" s="27"/>
      <c r="K200" s="1">
        <f>(K95*K198)/10^7</f>
        <v>560</v>
      </c>
      <c r="L200" s="1">
        <f t="shared" ref="L200:P200" si="144">(L95*L198)/10^7</f>
        <v>560</v>
      </c>
      <c r="M200" s="1">
        <f t="shared" si="144"/>
        <v>560</v>
      </c>
      <c r="N200" s="1">
        <f t="shared" si="144"/>
        <v>560</v>
      </c>
      <c r="O200" s="1">
        <f t="shared" si="144"/>
        <v>560</v>
      </c>
      <c r="P200" s="1">
        <f t="shared" si="144"/>
        <v>560</v>
      </c>
    </row>
    <row r="201" spans="1:16" ht="14.4" x14ac:dyDescent="0.3">
      <c r="A201" s="45" t="s">
        <v>87</v>
      </c>
      <c r="J201" s="27"/>
      <c r="K201" s="30">
        <f>J204</f>
        <v>711.41</v>
      </c>
      <c r="L201" s="30">
        <f t="shared" ref="L201:P201" si="145">K204</f>
        <v>793.1</v>
      </c>
      <c r="M201" s="30">
        <f t="shared" si="145"/>
        <v>854.7</v>
      </c>
      <c r="N201" s="30">
        <f t="shared" si="145"/>
        <v>916.3</v>
      </c>
      <c r="O201" s="30">
        <f t="shared" si="145"/>
        <v>977.9</v>
      </c>
      <c r="P201" s="30">
        <f t="shared" si="145"/>
        <v>1039.5</v>
      </c>
    </row>
    <row r="202" spans="1:16" s="25" customFormat="1" ht="14.4" x14ac:dyDescent="0.3">
      <c r="A202" s="68" t="s">
        <v>88</v>
      </c>
      <c r="J202" s="52"/>
      <c r="K202" s="78">
        <f>SUM(K200:K201)</f>
        <v>1271.4099999999999</v>
      </c>
      <c r="L202" s="78">
        <f t="shared" ref="L202:P202" si="146">SUM(L200:L201)</f>
        <v>1353.1</v>
      </c>
      <c r="M202" s="78">
        <f t="shared" si="146"/>
        <v>1414.7</v>
      </c>
      <c r="N202" s="78">
        <f t="shared" si="146"/>
        <v>1476.3</v>
      </c>
      <c r="O202" s="78">
        <f t="shared" si="146"/>
        <v>1537.9</v>
      </c>
      <c r="P202" s="78">
        <f t="shared" si="146"/>
        <v>1599.5</v>
      </c>
    </row>
    <row r="203" spans="1:16" ht="14.4" x14ac:dyDescent="0.3">
      <c r="A203" s="45"/>
      <c r="J203" s="27"/>
    </row>
    <row r="204" spans="1:16" ht="14.4" x14ac:dyDescent="0.3">
      <c r="A204" s="45" t="s">
        <v>89</v>
      </c>
      <c r="B204" s="30">
        <f>B20</f>
        <v>437.64</v>
      </c>
      <c r="C204" s="30">
        <f t="shared" ref="C204:J204" si="147">C20</f>
        <v>492.73</v>
      </c>
      <c r="D204" s="30">
        <f t="shared" si="147"/>
        <v>555.6</v>
      </c>
      <c r="E204" s="30">
        <f t="shared" si="147"/>
        <v>602.01</v>
      </c>
      <c r="F204" s="30">
        <f t="shared" si="147"/>
        <v>817.96</v>
      </c>
      <c r="G204" s="30">
        <f t="shared" si="147"/>
        <v>676.87</v>
      </c>
      <c r="H204" s="30">
        <f t="shared" si="147"/>
        <v>649.75</v>
      </c>
      <c r="I204" s="30">
        <f t="shared" si="147"/>
        <v>656.96</v>
      </c>
      <c r="J204" s="30">
        <f t="shared" si="147"/>
        <v>711.41</v>
      </c>
      <c r="K204" s="30">
        <f>K196*K205</f>
        <v>793.1</v>
      </c>
      <c r="L204" s="30">
        <f t="shared" ref="L204:P204" si="148">L196*L205</f>
        <v>854.7</v>
      </c>
      <c r="M204" s="30">
        <f t="shared" si="148"/>
        <v>916.3</v>
      </c>
      <c r="N204" s="30">
        <f t="shared" si="148"/>
        <v>977.9</v>
      </c>
      <c r="O204" s="30">
        <f t="shared" si="148"/>
        <v>1039.5</v>
      </c>
      <c r="P204" s="30">
        <f t="shared" si="148"/>
        <v>1101.0999999999999</v>
      </c>
    </row>
    <row r="205" spans="1:16" ht="14.4" x14ac:dyDescent="0.3">
      <c r="A205" s="45" t="s">
        <v>90</v>
      </c>
      <c r="B205" s="33">
        <f>B204/B196</f>
        <v>0.10445491974461484</v>
      </c>
      <c r="C205" s="33">
        <f t="shared" ref="C205:J205" si="149">C204/C196</f>
        <v>0.10137142433918168</v>
      </c>
      <c r="D205" s="33">
        <f t="shared" si="149"/>
        <v>0.11172487849215654</v>
      </c>
      <c r="E205" s="33">
        <f t="shared" si="149"/>
        <v>0.11665865701374302</v>
      </c>
      <c r="F205" s="33">
        <f t="shared" si="149"/>
        <v>0.12665154412504745</v>
      </c>
      <c r="G205" s="33">
        <f t="shared" si="149"/>
        <v>0.10534941634241246</v>
      </c>
      <c r="H205" s="33">
        <f t="shared" si="149"/>
        <v>0.10371639094095787</v>
      </c>
      <c r="I205" s="33">
        <f t="shared" si="149"/>
        <v>0.10553218285005647</v>
      </c>
      <c r="J205" s="33">
        <f t="shared" si="149"/>
        <v>0.11266220500622375</v>
      </c>
      <c r="K205" s="81">
        <v>0.11</v>
      </c>
      <c r="L205" s="87">
        <f>K205</f>
        <v>0.11</v>
      </c>
      <c r="M205" s="87">
        <f t="shared" ref="M205:P205" si="150">L205</f>
        <v>0.11</v>
      </c>
      <c r="N205" s="87">
        <f t="shared" si="150"/>
        <v>0.11</v>
      </c>
      <c r="O205" s="87">
        <f t="shared" si="150"/>
        <v>0.11</v>
      </c>
      <c r="P205" s="87">
        <f t="shared" si="150"/>
        <v>0.11</v>
      </c>
    </row>
    <row r="206" spans="1:16" ht="14.4" x14ac:dyDescent="0.3">
      <c r="A206" s="46"/>
      <c r="J206" s="27"/>
    </row>
    <row r="207" spans="1:16" ht="15" thickBot="1" x14ac:dyDescent="0.35">
      <c r="A207" s="46"/>
      <c r="J207" s="27"/>
    </row>
    <row r="208" spans="1:16" ht="15" thickBot="1" x14ac:dyDescent="0.35">
      <c r="A208" s="88" t="s">
        <v>95</v>
      </c>
      <c r="J208" s="27"/>
    </row>
    <row r="209" spans="1:23" ht="15" thickBot="1" x14ac:dyDescent="0.35">
      <c r="A209" s="89" t="s">
        <v>96</v>
      </c>
      <c r="B209" s="30">
        <f>B37</f>
        <v>3159.76</v>
      </c>
      <c r="C209" s="30">
        <f t="shared" ref="C209:P209" si="151">C37</f>
        <v>3377.1200000000017</v>
      </c>
      <c r="D209" s="30">
        <f t="shared" si="151"/>
        <v>3697.3599999999979</v>
      </c>
      <c r="E209" s="30">
        <f t="shared" si="151"/>
        <v>3384.8700000000035</v>
      </c>
      <c r="F209" s="30">
        <f t="shared" si="151"/>
        <v>3633.2699999999991</v>
      </c>
      <c r="G209" s="30">
        <f t="shared" si="151"/>
        <v>2964.199999999993</v>
      </c>
      <c r="H209" s="30">
        <f t="shared" si="151"/>
        <v>2498.8200000000038</v>
      </c>
      <c r="I209" s="30">
        <f t="shared" si="151"/>
        <v>2910.5800000000067</v>
      </c>
      <c r="J209" s="30">
        <f t="shared" si="151"/>
        <v>3967.9500000000021</v>
      </c>
      <c r="K209" s="30">
        <f t="shared" si="151"/>
        <v>4145.8995580616856</v>
      </c>
      <c r="L209" s="30">
        <f t="shared" si="151"/>
        <v>5047.6231205418526</v>
      </c>
      <c r="M209" s="30">
        <f t="shared" si="151"/>
        <v>6160.0882340105263</v>
      </c>
      <c r="N209" s="30">
        <f t="shared" si="151"/>
        <v>7530.9234751938002</v>
      </c>
      <c r="O209" s="30">
        <f t="shared" si="151"/>
        <v>9218.6168243755146</v>
      </c>
      <c r="P209" s="30">
        <f t="shared" si="151"/>
        <v>11295.005940652733</v>
      </c>
    </row>
    <row r="210" spans="1:23" ht="15" thickBot="1" x14ac:dyDescent="0.35">
      <c r="A210" s="89" t="s">
        <v>97</v>
      </c>
      <c r="B210" s="30">
        <f>B20</f>
        <v>437.64</v>
      </c>
      <c r="C210" s="30">
        <f t="shared" ref="C210:P210" si="152">C20</f>
        <v>492.73</v>
      </c>
      <c r="D210" s="30">
        <f t="shared" si="152"/>
        <v>555.6</v>
      </c>
      <c r="E210" s="30">
        <f t="shared" si="152"/>
        <v>602.01</v>
      </c>
      <c r="F210" s="30">
        <f t="shared" si="152"/>
        <v>817.96</v>
      </c>
      <c r="G210" s="30">
        <f t="shared" si="152"/>
        <v>676.87</v>
      </c>
      <c r="H210" s="30">
        <f t="shared" si="152"/>
        <v>649.75</v>
      </c>
      <c r="I210" s="30">
        <f t="shared" si="152"/>
        <v>656.96</v>
      </c>
      <c r="J210" s="30">
        <f t="shared" si="152"/>
        <v>711.41</v>
      </c>
      <c r="K210" s="30">
        <f t="shared" si="152"/>
        <v>793.1</v>
      </c>
      <c r="L210" s="30">
        <f t="shared" si="152"/>
        <v>854.7</v>
      </c>
      <c r="M210" s="30">
        <f t="shared" si="152"/>
        <v>916.3</v>
      </c>
      <c r="N210" s="30">
        <f t="shared" si="152"/>
        <v>977.9</v>
      </c>
      <c r="O210" s="30">
        <f t="shared" si="152"/>
        <v>1039.5</v>
      </c>
      <c r="P210" s="30">
        <f t="shared" si="152"/>
        <v>1101.0999999999999</v>
      </c>
    </row>
    <row r="211" spans="1:23" ht="15" thickBot="1" x14ac:dyDescent="0.35">
      <c r="A211" s="89" t="s">
        <v>98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27">
        <v>0</v>
      </c>
      <c r="K211" s="30">
        <f>K51-J51</f>
        <v>0</v>
      </c>
      <c r="L211" s="30">
        <f t="shared" ref="L211:P211" si="153">L51-K51</f>
        <v>0</v>
      </c>
      <c r="M211" s="30">
        <f t="shared" si="153"/>
        <v>0</v>
      </c>
      <c r="N211" s="30">
        <f t="shared" si="153"/>
        <v>0</v>
      </c>
      <c r="O211" s="30">
        <f t="shared" si="153"/>
        <v>0</v>
      </c>
      <c r="P211" s="30">
        <f t="shared" si="153"/>
        <v>0</v>
      </c>
    </row>
    <row r="212" spans="1:23" ht="15" thickBot="1" x14ac:dyDescent="0.35">
      <c r="A212" s="89" t="s">
        <v>99</v>
      </c>
      <c r="C212" s="30">
        <f>C190</f>
        <v>651.57999999999856</v>
      </c>
      <c r="D212" s="30">
        <f t="shared" ref="D212:P212" si="154">D190</f>
        <v>1140.4000000000001</v>
      </c>
      <c r="E212" s="30">
        <f t="shared" si="154"/>
        <v>-514.69999999999982</v>
      </c>
      <c r="F212" s="30">
        <f t="shared" si="154"/>
        <v>221.81999999999971</v>
      </c>
      <c r="G212" s="30">
        <f t="shared" si="154"/>
        <v>514.39000000000033</v>
      </c>
      <c r="H212" s="30">
        <f t="shared" si="154"/>
        <v>282.43000000000029</v>
      </c>
      <c r="I212" s="30">
        <f t="shared" si="154"/>
        <v>-1800.1499999999996</v>
      </c>
      <c r="J212" s="30">
        <f t="shared" si="154"/>
        <v>-424.48000000000047</v>
      </c>
      <c r="K212" s="30">
        <f t="shared" si="154"/>
        <v>1495.8111167342631</v>
      </c>
      <c r="L212" s="30">
        <f>L190</f>
        <v>890.72792478872725</v>
      </c>
      <c r="M212" s="30">
        <f t="shared" si="154"/>
        <v>1124.4015039243004</v>
      </c>
      <c r="N212" s="30">
        <f t="shared" si="154"/>
        <v>1388.1925730571584</v>
      </c>
      <c r="O212" s="30">
        <f t="shared" si="154"/>
        <v>1709.9893801868639</v>
      </c>
      <c r="P212" s="30">
        <f t="shared" si="154"/>
        <v>1970.6676470140119</v>
      </c>
    </row>
    <row r="213" spans="1:23" ht="15" thickBot="1" x14ac:dyDescent="0.35">
      <c r="A213" s="89" t="s">
        <v>100</v>
      </c>
      <c r="J213" s="27"/>
      <c r="K213" s="47">
        <f>K202</f>
        <v>1271.4099999999999</v>
      </c>
      <c r="L213" s="47">
        <f t="shared" ref="L213:P213" si="155">L202</f>
        <v>1353.1</v>
      </c>
      <c r="M213" s="47">
        <f t="shared" si="155"/>
        <v>1414.7</v>
      </c>
      <c r="N213" s="47">
        <f t="shared" si="155"/>
        <v>1476.3</v>
      </c>
      <c r="O213" s="47">
        <f t="shared" si="155"/>
        <v>1537.9</v>
      </c>
      <c r="P213" s="47">
        <f t="shared" si="155"/>
        <v>1599.5</v>
      </c>
    </row>
    <row r="214" spans="1:23" ht="15" thickBot="1" x14ac:dyDescent="0.35">
      <c r="A214" s="89"/>
      <c r="J214" s="27"/>
      <c r="K214" s="47"/>
      <c r="L214" s="47"/>
      <c r="M214" s="47"/>
      <c r="N214" s="47"/>
      <c r="O214" s="47"/>
      <c r="P214" s="47"/>
    </row>
    <row r="215" spans="1:23" ht="14.4" thickBot="1" x14ac:dyDescent="0.35">
      <c r="A215" s="90"/>
      <c r="J215" s="27"/>
    </row>
    <row r="216" spans="1:23" s="25" customFormat="1" ht="15" thickBot="1" x14ac:dyDescent="0.35">
      <c r="A216" s="88" t="s">
        <v>101</v>
      </c>
      <c r="C216" s="91"/>
      <c r="D216" s="91"/>
      <c r="E216" s="91"/>
      <c r="F216" s="91"/>
      <c r="G216" s="91"/>
      <c r="H216" s="91"/>
      <c r="I216" s="91"/>
      <c r="J216" s="92"/>
      <c r="K216" s="77">
        <f>J218</f>
        <v>608.92999999999995</v>
      </c>
      <c r="L216" s="77">
        <f t="shared" ref="L216:P216" si="156">K218</f>
        <v>2780.7084413274229</v>
      </c>
      <c r="M216" s="77">
        <f t="shared" si="156"/>
        <v>6439.2036370805481</v>
      </c>
      <c r="N216" s="77">
        <f t="shared" si="156"/>
        <v>10976.490367166774</v>
      </c>
      <c r="O216" s="77">
        <f t="shared" si="156"/>
        <v>16620.821269303415</v>
      </c>
      <c r="P216" s="77">
        <f t="shared" si="156"/>
        <v>23631.048713492066</v>
      </c>
    </row>
    <row r="217" spans="1:23" ht="15" thickBot="1" x14ac:dyDescent="0.35">
      <c r="A217" s="89" t="s">
        <v>102</v>
      </c>
      <c r="C217" s="93"/>
      <c r="D217" s="93"/>
      <c r="E217" s="93"/>
      <c r="F217" s="93"/>
      <c r="G217" s="93"/>
      <c r="H217" s="93"/>
      <c r="I217" s="93"/>
      <c r="J217" s="94"/>
      <c r="K217" s="30">
        <f>K209+K210+K211-K212-K213</f>
        <v>2171.778441327423</v>
      </c>
      <c r="L217" s="30">
        <f t="shared" ref="L217:P217" si="157">L209+L210+L211-L212-L213</f>
        <v>3658.4951957531252</v>
      </c>
      <c r="M217" s="30">
        <f t="shared" si="157"/>
        <v>4537.2867300862263</v>
      </c>
      <c r="N217" s="30">
        <f t="shared" si="157"/>
        <v>5644.3309021366413</v>
      </c>
      <c r="O217" s="30">
        <f t="shared" si="157"/>
        <v>7010.2274441886511</v>
      </c>
      <c r="P217" s="30">
        <f t="shared" si="157"/>
        <v>8825.938293638721</v>
      </c>
      <c r="Q217" s="30">
        <f>P217*(1+Q219)</f>
        <v>10803.026456190259</v>
      </c>
      <c r="R217" s="30">
        <f t="shared" ref="R217:T217" si="158">Q217*(1+R219)</f>
        <v>12844.893910465671</v>
      </c>
      <c r="S217" s="30">
        <f t="shared" si="158"/>
        <v>14823.121068392738</v>
      </c>
      <c r="T217" s="30">
        <f t="shared" si="158"/>
        <v>16587.203450589826</v>
      </c>
      <c r="U217" s="30">
        <f>T217*(1+U219)</f>
        <v>17980.675102686942</v>
      </c>
      <c r="V217" s="30">
        <f>U217*(1+V219)</f>
        <v>18861.887057489974</v>
      </c>
      <c r="W217" s="30">
        <f>V217*(1+W219)/(B225-W219)</f>
        <v>192391.24798639774</v>
      </c>
    </row>
    <row r="218" spans="1:23" ht="15" thickBot="1" x14ac:dyDescent="0.35">
      <c r="A218" s="88" t="s">
        <v>103</v>
      </c>
      <c r="C218" s="93"/>
      <c r="D218" s="93"/>
      <c r="E218" s="93"/>
      <c r="F218" s="93"/>
      <c r="G218" s="93"/>
      <c r="H218" s="93"/>
      <c r="I218" s="93"/>
      <c r="J218" s="92">
        <f>J85</f>
        <v>608.92999999999995</v>
      </c>
      <c r="K218" s="77">
        <f>SUM(K216:K217)</f>
        <v>2780.7084413274229</v>
      </c>
      <c r="L218" s="77">
        <f t="shared" ref="L218:P218" si="159">SUM(L216:L217)</f>
        <v>6439.2036370805481</v>
      </c>
      <c r="M218" s="77">
        <f t="shared" si="159"/>
        <v>10976.490367166774</v>
      </c>
      <c r="N218" s="77">
        <f t="shared" si="159"/>
        <v>16620.821269303415</v>
      </c>
      <c r="O218" s="77">
        <f t="shared" si="159"/>
        <v>23631.048713492066</v>
      </c>
      <c r="P218" s="77">
        <f t="shared" si="159"/>
        <v>32456.987007130789</v>
      </c>
    </row>
    <row r="219" spans="1:23" ht="15" thickBot="1" x14ac:dyDescent="0.35">
      <c r="A219" s="89" t="s">
        <v>104</v>
      </c>
      <c r="C219" s="93"/>
      <c r="D219" s="93"/>
      <c r="E219" s="93"/>
      <c r="F219" s="93"/>
      <c r="G219" s="93"/>
      <c r="H219" s="93"/>
      <c r="I219" s="93"/>
      <c r="J219" s="94"/>
      <c r="L219" s="33">
        <f>L217/K217-1</f>
        <v>0.68456188998588585</v>
      </c>
      <c r="M219" s="33">
        <f t="shared" ref="M219:P219" si="160">M217/L217-1</f>
        <v>0.24020573687051017</v>
      </c>
      <c r="N219" s="33">
        <f t="shared" si="160"/>
        <v>0.24398814487736309</v>
      </c>
      <c r="O219" s="33">
        <f t="shared" si="160"/>
        <v>0.24199441275403522</v>
      </c>
      <c r="P219" s="33">
        <f t="shared" si="160"/>
        <v>0.25900883586241696</v>
      </c>
      <c r="Q219" s="95">
        <f t="shared" ref="Q219:V219" si="161">P219-$B$224</f>
        <v>0.22400883586241696</v>
      </c>
      <c r="R219" s="95">
        <f t="shared" si="161"/>
        <v>0.18900883586241696</v>
      </c>
      <c r="S219" s="95">
        <f t="shared" si="161"/>
        <v>0.15400883586241695</v>
      </c>
      <c r="T219" s="95">
        <f t="shared" si="161"/>
        <v>0.11900883586241695</v>
      </c>
      <c r="U219" s="95">
        <f t="shared" si="161"/>
        <v>8.4008835862416947E-2</v>
      </c>
      <c r="V219" s="95">
        <f t="shared" si="161"/>
        <v>4.9008835862416944E-2</v>
      </c>
      <c r="W219" s="95">
        <f>B223</f>
        <v>0.02</v>
      </c>
    </row>
    <row r="220" spans="1:23" ht="14.4" x14ac:dyDescent="0.3">
      <c r="A220" s="46"/>
      <c r="J220" s="27"/>
    </row>
    <row r="221" spans="1:23" ht="14.4" x14ac:dyDescent="0.3">
      <c r="A221" s="46"/>
      <c r="J221" s="27"/>
    </row>
    <row r="222" spans="1:23" ht="14.4" x14ac:dyDescent="0.3">
      <c r="A222" s="46"/>
      <c r="J222" s="27"/>
    </row>
    <row r="223" spans="1:23" ht="14.4" x14ac:dyDescent="0.3">
      <c r="A223" s="46" t="s">
        <v>105</v>
      </c>
      <c r="B223" s="81">
        <v>0.02</v>
      </c>
      <c r="D223" s="96"/>
      <c r="J223" s="27"/>
    </row>
    <row r="224" spans="1:23" ht="14.4" x14ac:dyDescent="0.3">
      <c r="A224" s="46" t="s">
        <v>106</v>
      </c>
      <c r="B224" s="81">
        <v>3.5000000000000003E-2</v>
      </c>
      <c r="D224" s="96"/>
      <c r="J224" s="27"/>
    </row>
    <row r="225" spans="1:23" ht="14.4" x14ac:dyDescent="0.3">
      <c r="A225" s="46" t="s">
        <v>107</v>
      </c>
      <c r="B225" s="81">
        <v>0.12</v>
      </c>
      <c r="D225" s="96"/>
      <c r="J225" s="27"/>
    </row>
    <row r="226" spans="1:23" ht="14.4" x14ac:dyDescent="0.3">
      <c r="A226" s="46" t="s">
        <v>108</v>
      </c>
      <c r="B226" s="81">
        <v>7.0000000000000007E-2</v>
      </c>
      <c r="D226" s="96"/>
      <c r="J226" s="27"/>
    </row>
    <row r="227" spans="1:23" ht="14.4" x14ac:dyDescent="0.3">
      <c r="A227" s="46" t="s">
        <v>109</v>
      </c>
      <c r="B227" s="95">
        <f>(B225-B226)*B228</f>
        <v>4.9999999999999989E-2</v>
      </c>
      <c r="D227" s="95"/>
      <c r="J227" s="27"/>
    </row>
    <row r="228" spans="1:23" ht="14.4" x14ac:dyDescent="0.3">
      <c r="A228" s="46" t="s">
        <v>110</v>
      </c>
      <c r="B228" s="97">
        <v>1</v>
      </c>
      <c r="D228" s="30"/>
      <c r="J228" s="27"/>
    </row>
    <row r="229" spans="1:23" ht="14.4" x14ac:dyDescent="0.3">
      <c r="A229" s="39" t="s">
        <v>203</v>
      </c>
      <c r="B229" s="77">
        <f>SUM(K229:W229)</f>
        <v>100274.54149283865</v>
      </c>
      <c r="D229" s="30"/>
      <c r="J229" s="98" t="s">
        <v>116</v>
      </c>
      <c r="K229" s="77">
        <f>-PV($B$225,K1-$J$1,0,K217)</f>
        <v>1939.0878940423418</v>
      </c>
      <c r="L229" s="77">
        <f t="shared" ref="L229:V229" si="162">-PV($B$225,L1-$J$1,0,L217)</f>
        <v>2916.529971104213</v>
      </c>
      <c r="M229" s="77">
        <f t="shared" si="162"/>
        <v>3229.5510731412746</v>
      </c>
      <c r="N229" s="77">
        <f t="shared" si="162"/>
        <v>3587.0743288068857</v>
      </c>
      <c r="O229" s="77">
        <f t="shared" si="162"/>
        <v>3977.7913165281984</v>
      </c>
      <c r="P229" s="77">
        <f t="shared" si="162"/>
        <v>4471.4950131480336</v>
      </c>
      <c r="Q229" s="77">
        <f t="shared" si="162"/>
        <v>4886.7405407213646</v>
      </c>
      <c r="R229" s="77">
        <f t="shared" si="162"/>
        <v>5187.8372156114165</v>
      </c>
      <c r="S229" s="77">
        <f t="shared" si="162"/>
        <v>5345.3660587780832</v>
      </c>
      <c r="T229" s="77">
        <f t="shared" si="162"/>
        <v>5340.6355809747674</v>
      </c>
      <c r="U229" s="77">
        <f t="shared" si="162"/>
        <v>5169.0144275873745</v>
      </c>
      <c r="V229" s="77">
        <f t="shared" si="162"/>
        <v>4841.3766136066688</v>
      </c>
      <c r="W229" s="77">
        <f>-PV($B$225,V1-$J$1,0,W217)</f>
        <v>49382.041458788022</v>
      </c>
    </row>
    <row r="230" spans="1:23" ht="15" thickBot="1" x14ac:dyDescent="0.35">
      <c r="A230" s="46" t="s">
        <v>111</v>
      </c>
      <c r="B230" s="30">
        <f>SUM(J85,J89,J90)</f>
        <v>5166.9600000000009</v>
      </c>
      <c r="D230" s="30"/>
      <c r="G230" s="99"/>
      <c r="J230" s="27"/>
    </row>
    <row r="231" spans="1:23" ht="15" thickTop="1" x14ac:dyDescent="0.3">
      <c r="A231" s="100" t="s">
        <v>204</v>
      </c>
      <c r="B231" s="77">
        <f>SUM(B229:B230)</f>
        <v>105441.50149283865</v>
      </c>
      <c r="C231" s="1" t="s">
        <v>202</v>
      </c>
      <c r="D231" s="77"/>
      <c r="J231" s="27"/>
    </row>
    <row r="232" spans="1:23" ht="14.4" x14ac:dyDescent="0.3">
      <c r="A232" s="46" t="s">
        <v>112</v>
      </c>
      <c r="B232" s="1">
        <v>20</v>
      </c>
      <c r="J232" s="27"/>
    </row>
    <row r="233" spans="1:23" ht="14.4" x14ac:dyDescent="0.3">
      <c r="A233" s="46" t="s">
        <v>113</v>
      </c>
      <c r="B233" s="30">
        <f>B231/B232</f>
        <v>5272.0750746419326</v>
      </c>
      <c r="D233" s="30"/>
      <c r="J233" s="27"/>
    </row>
    <row r="234" spans="1:23" ht="14.4" x14ac:dyDescent="0.3">
      <c r="A234" s="39" t="s">
        <v>114</v>
      </c>
      <c r="B234" s="77">
        <v>5418</v>
      </c>
      <c r="D234" s="77"/>
      <c r="E234" s="33"/>
      <c r="J234" s="27"/>
    </row>
    <row r="235" spans="1:23" ht="14.4" x14ac:dyDescent="0.3">
      <c r="A235" s="46"/>
      <c r="B235" s="47">
        <f>B234-B233</f>
        <v>145.92492535806741</v>
      </c>
      <c r="C235" s="1" t="s">
        <v>117</v>
      </c>
      <c r="D235" s="47"/>
      <c r="E235" s="30"/>
      <c r="J235" s="27"/>
    </row>
    <row r="236" spans="1:23" ht="14.4" x14ac:dyDescent="0.3">
      <c r="A236" s="46"/>
      <c r="E236" s="38"/>
      <c r="J236" s="27"/>
    </row>
    <row r="237" spans="1:23" ht="14.4" x14ac:dyDescent="0.3">
      <c r="A237" s="39"/>
      <c r="J237" s="27"/>
    </row>
    <row r="238" spans="1:23" ht="14.4" x14ac:dyDescent="0.3">
      <c r="A238" s="46"/>
      <c r="B238" s="77"/>
      <c r="J238" s="27"/>
    </row>
    <row r="239" spans="1:23" ht="14.4" x14ac:dyDescent="0.3">
      <c r="A239" s="46"/>
      <c r="B239" s="30"/>
      <c r="J239" s="27"/>
    </row>
    <row r="240" spans="1:23" ht="14.4" x14ac:dyDescent="0.3">
      <c r="A240" s="46"/>
      <c r="J240" s="27"/>
    </row>
    <row r="241" spans="1:10" ht="14.4" x14ac:dyDescent="0.3">
      <c r="A241" s="46"/>
      <c r="B241" s="77"/>
      <c r="J241" s="27"/>
    </row>
    <row r="242" spans="1:10" ht="14.4" x14ac:dyDescent="0.3">
      <c r="A242" s="46"/>
      <c r="J242" s="27"/>
    </row>
    <row r="243" spans="1:10" ht="14.4" x14ac:dyDescent="0.3">
      <c r="A243" s="46"/>
      <c r="J243" s="27"/>
    </row>
    <row r="244" spans="1:10" ht="14.4" x14ac:dyDescent="0.3">
      <c r="A244" s="46"/>
      <c r="J244" s="27"/>
    </row>
    <row r="245" spans="1:10" ht="14.4" x14ac:dyDescent="0.3">
      <c r="A245" s="46"/>
      <c r="J245" s="27"/>
    </row>
    <row r="246" spans="1:10" ht="14.4" x14ac:dyDescent="0.3">
      <c r="A246" s="46"/>
      <c r="J246" s="27"/>
    </row>
    <row r="247" spans="1:10" ht="14.4" x14ac:dyDescent="0.3">
      <c r="A247" s="46"/>
      <c r="J247" s="27"/>
    </row>
    <row r="248" spans="1:10" ht="14.4" x14ac:dyDescent="0.3">
      <c r="A248" s="46"/>
      <c r="J248" s="27"/>
    </row>
    <row r="249" spans="1:10" ht="14.4" x14ac:dyDescent="0.3">
      <c r="A249" s="46"/>
      <c r="J249" s="27"/>
    </row>
    <row r="250" spans="1:10" ht="14.4" x14ac:dyDescent="0.3">
      <c r="A250" s="46"/>
      <c r="J250" s="27"/>
    </row>
    <row r="251" spans="1:10" ht="14.4" x14ac:dyDescent="0.3">
      <c r="A251" s="46"/>
      <c r="J251" s="27"/>
    </row>
    <row r="252" spans="1:10" ht="14.4" x14ac:dyDescent="0.3">
      <c r="A252" s="46"/>
      <c r="J252" s="27"/>
    </row>
    <row r="253" spans="1:10" ht="14.4" x14ac:dyDescent="0.3">
      <c r="A253" s="46"/>
      <c r="J253" s="27"/>
    </row>
    <row r="254" spans="1:10" ht="14.4" x14ac:dyDescent="0.3">
      <c r="A254" s="46"/>
      <c r="J254" s="27"/>
    </row>
    <row r="255" spans="1:10" ht="14.4" x14ac:dyDescent="0.3">
      <c r="A255" s="46"/>
      <c r="J255" s="27"/>
    </row>
    <row r="256" spans="1:10" ht="14.4" x14ac:dyDescent="0.3">
      <c r="A256" s="46"/>
      <c r="J256" s="27"/>
    </row>
    <row r="257" spans="1:10" ht="14.4" x14ac:dyDescent="0.3">
      <c r="A257" s="46"/>
      <c r="J257" s="27"/>
    </row>
    <row r="258" spans="1:10" ht="14.4" x14ac:dyDescent="0.3">
      <c r="A258" s="46"/>
      <c r="J258" s="27"/>
    </row>
    <row r="259" spans="1:10" ht="14.4" x14ac:dyDescent="0.3">
      <c r="A259" s="46"/>
    </row>
    <row r="260" spans="1:10" ht="14.4" x14ac:dyDescent="0.3">
      <c r="A260" s="46"/>
    </row>
    <row r="261" spans="1:10" ht="14.4" x14ac:dyDescent="0.3">
      <c r="A261" s="46"/>
    </row>
    <row r="262" spans="1:10" ht="14.4" x14ac:dyDescent="0.3">
      <c r="A262" s="46"/>
    </row>
    <row r="263" spans="1:10" ht="14.4" x14ac:dyDescent="0.3">
      <c r="A263" s="46"/>
    </row>
    <row r="264" spans="1:10" ht="14.4" x14ac:dyDescent="0.3">
      <c r="A264" s="46"/>
    </row>
    <row r="265" spans="1:10" ht="14.4" x14ac:dyDescent="0.3">
      <c r="A265" s="46"/>
    </row>
    <row r="266" spans="1:10" ht="14.4" x14ac:dyDescent="0.3">
      <c r="A266" s="46"/>
    </row>
    <row r="267" spans="1:10" ht="14.4" x14ac:dyDescent="0.3">
      <c r="A267" s="46"/>
    </row>
    <row r="268" spans="1:10" ht="14.4" x14ac:dyDescent="0.3">
      <c r="A268" s="46"/>
    </row>
    <row r="269" spans="1:10" ht="14.4" x14ac:dyDescent="0.3">
      <c r="A269" s="46"/>
    </row>
    <row r="270" spans="1:10" ht="14.4" x14ac:dyDescent="0.3">
      <c r="A270" s="46"/>
    </row>
    <row r="271" spans="1:10" ht="14.4" x14ac:dyDescent="0.3">
      <c r="A271" s="46"/>
    </row>
    <row r="272" spans="1:10" ht="14.4" x14ac:dyDescent="0.3">
      <c r="A272" s="46"/>
    </row>
    <row r="273" spans="1:1" ht="14.4" x14ac:dyDescent="0.3">
      <c r="A273" s="46"/>
    </row>
    <row r="274" spans="1:1" ht="14.4" x14ac:dyDescent="0.3">
      <c r="A274" s="46"/>
    </row>
    <row r="275" spans="1:1" ht="14.4" x14ac:dyDescent="0.3">
      <c r="A275" s="46"/>
    </row>
    <row r="276" spans="1:1" ht="14.4" x14ac:dyDescent="0.3">
      <c r="A276" s="46"/>
    </row>
    <row r="277" spans="1:1" ht="14.4" x14ac:dyDescent="0.3">
      <c r="A277" s="46"/>
    </row>
    <row r="278" spans="1:1" ht="14.4" x14ac:dyDescent="0.3">
      <c r="A278" s="46"/>
    </row>
    <row r="279" spans="1:1" ht="14.4" x14ac:dyDescent="0.3">
      <c r="A279" s="46"/>
    </row>
    <row r="280" spans="1:1" ht="14.4" x14ac:dyDescent="0.3">
      <c r="A280" s="46"/>
    </row>
    <row r="281" spans="1:1" ht="14.4" x14ac:dyDescent="0.3">
      <c r="A281" s="46"/>
    </row>
    <row r="282" spans="1:1" ht="14.4" x14ac:dyDescent="0.3">
      <c r="A282" s="46"/>
    </row>
    <row r="283" spans="1:1" ht="14.4" x14ac:dyDescent="0.3">
      <c r="A283" s="46"/>
    </row>
    <row r="284" spans="1:1" ht="14.4" x14ac:dyDescent="0.3">
      <c r="A284" s="46"/>
    </row>
    <row r="285" spans="1:1" ht="14.4" x14ac:dyDescent="0.3">
      <c r="A285" s="46"/>
    </row>
    <row r="286" spans="1:1" ht="14.4" x14ac:dyDescent="0.3">
      <c r="A286" s="46"/>
    </row>
    <row r="287" spans="1:1" ht="14.4" x14ac:dyDescent="0.3">
      <c r="A287" s="46"/>
    </row>
    <row r="288" spans="1:1" ht="14.4" x14ac:dyDescent="0.3">
      <c r="A288" s="46"/>
    </row>
    <row r="289" spans="1:1" ht="14.4" x14ac:dyDescent="0.3">
      <c r="A289" s="46"/>
    </row>
    <row r="290" spans="1:1" ht="14.4" x14ac:dyDescent="0.3">
      <c r="A290" s="46"/>
    </row>
    <row r="291" spans="1:1" ht="14.4" x14ac:dyDescent="0.3">
      <c r="A291" s="46"/>
    </row>
    <row r="292" spans="1:1" ht="14.4" x14ac:dyDescent="0.3">
      <c r="A292" s="46"/>
    </row>
    <row r="293" spans="1:1" ht="14.4" x14ac:dyDescent="0.3">
      <c r="A293" s="46"/>
    </row>
    <row r="294" spans="1:1" ht="14.4" x14ac:dyDescent="0.3">
      <c r="A294" s="46"/>
    </row>
    <row r="295" spans="1:1" ht="14.4" x14ac:dyDescent="0.3">
      <c r="A295" s="46"/>
    </row>
    <row r="296" spans="1:1" ht="14.4" x14ac:dyDescent="0.3">
      <c r="A296" s="46"/>
    </row>
    <row r="297" spans="1:1" ht="14.4" x14ac:dyDescent="0.3">
      <c r="A297" s="46"/>
    </row>
    <row r="298" spans="1:1" ht="14.4" x14ac:dyDescent="0.3">
      <c r="A298" s="46"/>
    </row>
    <row r="299" spans="1:1" ht="14.4" x14ac:dyDescent="0.3">
      <c r="A299" s="46"/>
    </row>
    <row r="300" spans="1:1" ht="14.4" x14ac:dyDescent="0.3">
      <c r="A300" s="46"/>
    </row>
    <row r="301" spans="1:1" ht="14.4" x14ac:dyDescent="0.3">
      <c r="A301" s="46"/>
    </row>
    <row r="302" spans="1:1" ht="14.4" x14ac:dyDescent="0.3">
      <c r="A302" s="46"/>
    </row>
    <row r="303" spans="1:1" ht="14.4" x14ac:dyDescent="0.3">
      <c r="A303" s="46"/>
    </row>
    <row r="304" spans="1:1" ht="14.4" x14ac:dyDescent="0.3">
      <c r="A304" s="46"/>
    </row>
    <row r="305" spans="1:1" ht="14.4" x14ac:dyDescent="0.3">
      <c r="A305" s="46"/>
    </row>
    <row r="306" spans="1:1" ht="14.4" x14ac:dyDescent="0.3">
      <c r="A306" s="46"/>
    </row>
    <row r="307" spans="1:1" ht="14.4" x14ac:dyDescent="0.3">
      <c r="A307" s="46"/>
    </row>
    <row r="308" spans="1:1" ht="14.4" x14ac:dyDescent="0.3">
      <c r="A308" s="46"/>
    </row>
    <row r="309" spans="1:1" ht="14.4" x14ac:dyDescent="0.3">
      <c r="A309" s="46"/>
    </row>
    <row r="310" spans="1:1" ht="14.4" x14ac:dyDescent="0.3">
      <c r="A310" s="46"/>
    </row>
    <row r="311" spans="1:1" ht="14.4" x14ac:dyDescent="0.3">
      <c r="A311" s="46"/>
    </row>
    <row r="312" spans="1:1" ht="14.4" x14ac:dyDescent="0.3">
      <c r="A312" s="46"/>
    </row>
    <row r="313" spans="1:1" ht="14.4" x14ac:dyDescent="0.3">
      <c r="A313" s="46"/>
    </row>
    <row r="314" spans="1:1" ht="14.4" x14ac:dyDescent="0.3">
      <c r="A314" s="46"/>
    </row>
    <row r="315" spans="1:1" ht="14.4" x14ac:dyDescent="0.3">
      <c r="A315" s="46"/>
    </row>
    <row r="316" spans="1:1" ht="14.4" x14ac:dyDescent="0.3">
      <c r="A316" s="46"/>
    </row>
    <row r="317" spans="1:1" ht="14.4" x14ac:dyDescent="0.3">
      <c r="A317" s="46"/>
    </row>
    <row r="318" spans="1:1" ht="14.4" x14ac:dyDescent="0.3">
      <c r="A318" s="46"/>
    </row>
    <row r="319" spans="1:1" ht="14.4" x14ac:dyDescent="0.3">
      <c r="A319" s="46"/>
    </row>
    <row r="320" spans="1:1" ht="14.4" x14ac:dyDescent="0.3">
      <c r="A320" s="46"/>
    </row>
    <row r="321" spans="1:1" ht="14.4" x14ac:dyDescent="0.3">
      <c r="A321" s="46"/>
    </row>
    <row r="322" spans="1:1" ht="14.4" x14ac:dyDescent="0.3">
      <c r="A322" s="46"/>
    </row>
    <row r="323" spans="1:1" ht="14.4" x14ac:dyDescent="0.3">
      <c r="A323" s="46"/>
    </row>
    <row r="324" spans="1:1" ht="14.4" x14ac:dyDescent="0.3">
      <c r="A324" s="46"/>
    </row>
    <row r="325" spans="1:1" ht="14.4" x14ac:dyDescent="0.3">
      <c r="A325" s="46"/>
    </row>
    <row r="326" spans="1:1" ht="14.4" x14ac:dyDescent="0.3">
      <c r="A326" s="46"/>
    </row>
    <row r="327" spans="1:1" ht="14.4" x14ac:dyDescent="0.3">
      <c r="A327" s="46"/>
    </row>
    <row r="328" spans="1:1" ht="14.4" x14ac:dyDescent="0.3">
      <c r="A328" s="46"/>
    </row>
    <row r="329" spans="1:1" ht="14.4" x14ac:dyDescent="0.3">
      <c r="A329" s="46"/>
    </row>
    <row r="330" spans="1:1" ht="14.4" x14ac:dyDescent="0.3">
      <c r="A330" s="46"/>
    </row>
    <row r="331" spans="1:1" ht="14.4" x14ac:dyDescent="0.3">
      <c r="A331" s="46"/>
    </row>
    <row r="332" spans="1:1" ht="14.4" x14ac:dyDescent="0.3">
      <c r="A332" s="46"/>
    </row>
    <row r="333" spans="1:1" ht="14.4" x14ac:dyDescent="0.3">
      <c r="A333" s="46"/>
    </row>
    <row r="334" spans="1:1" ht="14.4" x14ac:dyDescent="0.3">
      <c r="A334" s="46"/>
    </row>
    <row r="335" spans="1:1" ht="14.4" x14ac:dyDescent="0.3">
      <c r="A335" s="46"/>
    </row>
    <row r="336" spans="1:1" ht="14.4" x14ac:dyDescent="0.3">
      <c r="A336" s="46"/>
    </row>
    <row r="337" spans="1:1" ht="14.4" x14ac:dyDescent="0.3">
      <c r="A337" s="46"/>
    </row>
    <row r="338" spans="1:1" ht="14.4" x14ac:dyDescent="0.3">
      <c r="A338" s="46"/>
    </row>
    <row r="339" spans="1:1" ht="14.4" x14ac:dyDescent="0.3">
      <c r="A339" s="46"/>
    </row>
    <row r="340" spans="1:1" ht="14.4" x14ac:dyDescent="0.3">
      <c r="A340" s="46"/>
    </row>
    <row r="341" spans="1:1" ht="14.4" x14ac:dyDescent="0.3">
      <c r="A341" s="46"/>
    </row>
    <row r="342" spans="1:1" ht="14.4" x14ac:dyDescent="0.3">
      <c r="A342" s="46"/>
    </row>
    <row r="343" spans="1:1" ht="14.4" x14ac:dyDescent="0.3">
      <c r="A343" s="46"/>
    </row>
    <row r="344" spans="1:1" ht="14.4" x14ac:dyDescent="0.3">
      <c r="A344" s="46"/>
    </row>
    <row r="345" spans="1:1" ht="14.4" x14ac:dyDescent="0.3">
      <c r="A345" s="46"/>
    </row>
    <row r="346" spans="1:1" ht="14.4" x14ac:dyDescent="0.3">
      <c r="A346" s="46"/>
    </row>
    <row r="347" spans="1:1" ht="14.4" x14ac:dyDescent="0.3">
      <c r="A347" s="46"/>
    </row>
    <row r="348" spans="1:1" ht="14.4" x14ac:dyDescent="0.3">
      <c r="A348" s="46"/>
    </row>
    <row r="349" spans="1:1" ht="14.4" x14ac:dyDescent="0.3">
      <c r="A349" s="46"/>
    </row>
    <row r="350" spans="1:1" ht="14.4" x14ac:dyDescent="0.3">
      <c r="A350" s="46"/>
    </row>
    <row r="351" spans="1:1" ht="14.4" x14ac:dyDescent="0.3">
      <c r="A351" s="46"/>
    </row>
    <row r="352" spans="1:1" ht="14.4" x14ac:dyDescent="0.3">
      <c r="A352" s="46"/>
    </row>
    <row r="353" spans="1:1" ht="14.4" x14ac:dyDescent="0.3">
      <c r="A353" s="46"/>
    </row>
    <row r="354" spans="1:1" ht="14.4" x14ac:dyDescent="0.3">
      <c r="A354" s="46"/>
    </row>
    <row r="355" spans="1:1" ht="14.4" x14ac:dyDescent="0.3">
      <c r="A355" s="46"/>
    </row>
    <row r="356" spans="1:1" ht="14.4" x14ac:dyDescent="0.3">
      <c r="A356" s="46"/>
    </row>
    <row r="357" spans="1:1" ht="14.4" x14ac:dyDescent="0.3">
      <c r="A357" s="46"/>
    </row>
    <row r="358" spans="1:1" ht="14.4" x14ac:dyDescent="0.3">
      <c r="A358" s="46"/>
    </row>
    <row r="359" spans="1:1" ht="14.4" x14ac:dyDescent="0.3">
      <c r="A359" s="46"/>
    </row>
    <row r="360" spans="1:1" ht="14.4" x14ac:dyDescent="0.3">
      <c r="A360" s="46"/>
    </row>
    <row r="361" spans="1:1" ht="14.4" x14ac:dyDescent="0.3">
      <c r="A361" s="46"/>
    </row>
    <row r="362" spans="1:1" ht="14.4" x14ac:dyDescent="0.3">
      <c r="A362" s="46"/>
    </row>
    <row r="363" spans="1:1" ht="14.4" x14ac:dyDescent="0.3">
      <c r="A363" s="46"/>
    </row>
    <row r="364" spans="1:1" ht="14.4" x14ac:dyDescent="0.3">
      <c r="A364" s="46"/>
    </row>
    <row r="365" spans="1:1" ht="14.4" x14ac:dyDescent="0.3">
      <c r="A365" s="46"/>
    </row>
    <row r="366" spans="1:1" ht="14.4" x14ac:dyDescent="0.3">
      <c r="A366" s="46"/>
    </row>
    <row r="367" spans="1:1" ht="14.4" x14ac:dyDescent="0.3">
      <c r="A367" s="46"/>
    </row>
    <row r="368" spans="1:1" ht="14.4" x14ac:dyDescent="0.3">
      <c r="A368" s="46"/>
    </row>
    <row r="369" spans="1:1" ht="14.4" x14ac:dyDescent="0.3">
      <c r="A369" s="46"/>
    </row>
    <row r="370" spans="1:1" ht="14.4" x14ac:dyDescent="0.3">
      <c r="A370" s="46"/>
    </row>
    <row r="371" spans="1:1" ht="14.4" x14ac:dyDescent="0.3">
      <c r="A371" s="46"/>
    </row>
    <row r="372" spans="1:1" ht="14.4" x14ac:dyDescent="0.3">
      <c r="A372" s="46"/>
    </row>
    <row r="373" spans="1:1" ht="14.4" x14ac:dyDescent="0.3">
      <c r="A373" s="46"/>
    </row>
    <row r="374" spans="1:1" ht="14.4" x14ac:dyDescent="0.3">
      <c r="A374" s="46"/>
    </row>
    <row r="375" spans="1:1" ht="14.4" x14ac:dyDescent="0.3">
      <c r="A375" s="46"/>
    </row>
    <row r="376" spans="1:1" ht="14.4" x14ac:dyDescent="0.3">
      <c r="A376" s="46"/>
    </row>
    <row r="377" spans="1:1" ht="14.4" x14ac:dyDescent="0.3">
      <c r="A377" s="46"/>
    </row>
    <row r="378" spans="1:1" ht="14.4" x14ac:dyDescent="0.3">
      <c r="A378" s="46"/>
    </row>
    <row r="379" spans="1:1" ht="14.4" x14ac:dyDescent="0.3">
      <c r="A379" s="46"/>
    </row>
    <row r="380" spans="1:1" ht="14.4" x14ac:dyDescent="0.3">
      <c r="A380" s="46"/>
    </row>
    <row r="381" spans="1:1" ht="14.4" x14ac:dyDescent="0.3">
      <c r="A381" s="46"/>
    </row>
    <row r="382" spans="1:1" ht="14.4" x14ac:dyDescent="0.3">
      <c r="A382" s="46"/>
    </row>
    <row r="383" spans="1:1" ht="14.4" x14ac:dyDescent="0.3">
      <c r="A383" s="46"/>
    </row>
    <row r="384" spans="1:1" ht="14.4" x14ac:dyDescent="0.3">
      <c r="A384" s="46"/>
    </row>
    <row r="385" spans="1:1" ht="14.4" x14ac:dyDescent="0.3">
      <c r="A385" s="46"/>
    </row>
    <row r="386" spans="1:1" ht="14.4" x14ac:dyDescent="0.3">
      <c r="A386" s="46"/>
    </row>
    <row r="387" spans="1:1" ht="14.4" x14ac:dyDescent="0.3">
      <c r="A387" s="46"/>
    </row>
    <row r="388" spans="1:1" ht="14.4" x14ac:dyDescent="0.3">
      <c r="A388" s="46"/>
    </row>
    <row r="389" spans="1:1" ht="14.4" x14ac:dyDescent="0.3">
      <c r="A389" s="46"/>
    </row>
    <row r="390" spans="1:1" ht="14.4" x14ac:dyDescent="0.3">
      <c r="A390" s="46"/>
    </row>
    <row r="391" spans="1:1" ht="14.4" x14ac:dyDescent="0.3">
      <c r="A391" s="46"/>
    </row>
    <row r="392" spans="1:1" ht="14.4" x14ac:dyDescent="0.3">
      <c r="A392" s="46"/>
    </row>
    <row r="393" spans="1:1" ht="14.4" x14ac:dyDescent="0.3">
      <c r="A393" s="46"/>
    </row>
    <row r="394" spans="1:1" ht="14.4" x14ac:dyDescent="0.3">
      <c r="A394" s="46"/>
    </row>
    <row r="395" spans="1:1" ht="14.4" x14ac:dyDescent="0.3">
      <c r="A395" s="46"/>
    </row>
    <row r="396" spans="1:1" ht="14.4" x14ac:dyDescent="0.3">
      <c r="A396" s="46"/>
    </row>
    <row r="397" spans="1:1" ht="14.4" x14ac:dyDescent="0.3">
      <c r="A397" s="46"/>
    </row>
    <row r="398" spans="1:1" ht="14.4" x14ac:dyDescent="0.3">
      <c r="A398" s="46"/>
    </row>
    <row r="399" spans="1:1" ht="14.4" x14ac:dyDescent="0.3">
      <c r="A399" s="46"/>
    </row>
    <row r="400" spans="1:1" ht="14.4" x14ac:dyDescent="0.3">
      <c r="A400" s="46"/>
    </row>
    <row r="401" spans="1:1" ht="14.4" x14ac:dyDescent="0.3">
      <c r="A401" s="46"/>
    </row>
    <row r="402" spans="1:1" ht="14.4" x14ac:dyDescent="0.3">
      <c r="A402" s="46"/>
    </row>
    <row r="403" spans="1:1" ht="14.4" x14ac:dyDescent="0.3">
      <c r="A403" s="46"/>
    </row>
    <row r="404" spans="1:1" ht="14.4" x14ac:dyDescent="0.3">
      <c r="A404" s="46"/>
    </row>
    <row r="405" spans="1:1" ht="14.4" x14ac:dyDescent="0.3">
      <c r="A405" s="46"/>
    </row>
    <row r="406" spans="1:1" ht="14.4" x14ac:dyDescent="0.3">
      <c r="A406" s="46"/>
    </row>
    <row r="407" spans="1:1" ht="14.4" x14ac:dyDescent="0.3">
      <c r="A407" s="46"/>
    </row>
    <row r="408" spans="1:1" ht="14.4" x14ac:dyDescent="0.3">
      <c r="A408" s="46"/>
    </row>
    <row r="409" spans="1:1" ht="14.4" x14ac:dyDescent="0.3">
      <c r="A409" s="46"/>
    </row>
    <row r="410" spans="1:1" ht="14.4" x14ac:dyDescent="0.3">
      <c r="A410" s="46"/>
    </row>
    <row r="411" spans="1:1" ht="14.4" x14ac:dyDescent="0.3">
      <c r="A411" s="46"/>
    </row>
    <row r="412" spans="1:1" ht="14.4" x14ac:dyDescent="0.3">
      <c r="A412" s="46"/>
    </row>
    <row r="413" spans="1:1" ht="14.4" x14ac:dyDescent="0.3">
      <c r="A413" s="46"/>
    </row>
    <row r="414" spans="1:1" ht="14.4" x14ac:dyDescent="0.3">
      <c r="A414" s="46"/>
    </row>
    <row r="415" spans="1:1" ht="14.4" x14ac:dyDescent="0.3">
      <c r="A415" s="46"/>
    </row>
    <row r="416" spans="1:1" ht="14.4" x14ac:dyDescent="0.3">
      <c r="A416" s="46"/>
    </row>
    <row r="417" spans="1:1" ht="14.4" x14ac:dyDescent="0.3">
      <c r="A417" s="46"/>
    </row>
    <row r="418" spans="1:1" ht="14.4" x14ac:dyDescent="0.3">
      <c r="A418" s="46"/>
    </row>
    <row r="419" spans="1:1" ht="14.4" x14ac:dyDescent="0.3">
      <c r="A419" s="46"/>
    </row>
    <row r="420" spans="1:1" ht="14.4" x14ac:dyDescent="0.3">
      <c r="A420" s="46"/>
    </row>
    <row r="421" spans="1:1" ht="14.4" x14ac:dyDescent="0.3">
      <c r="A421" s="46"/>
    </row>
    <row r="422" spans="1:1" ht="14.4" x14ac:dyDescent="0.3">
      <c r="A422" s="46"/>
    </row>
    <row r="423" spans="1:1" ht="14.4" x14ac:dyDescent="0.3">
      <c r="A423" s="46"/>
    </row>
    <row r="424" spans="1:1" ht="14.4" x14ac:dyDescent="0.3">
      <c r="A424" s="46"/>
    </row>
    <row r="425" spans="1:1" ht="14.4" x14ac:dyDescent="0.3">
      <c r="A425" s="46"/>
    </row>
    <row r="426" spans="1:1" ht="14.4" x14ac:dyDescent="0.3">
      <c r="A426" s="46"/>
    </row>
    <row r="427" spans="1:1" ht="14.4" x14ac:dyDescent="0.3">
      <c r="A427" s="46"/>
    </row>
    <row r="428" spans="1:1" ht="14.4" x14ac:dyDescent="0.3">
      <c r="A428" s="46"/>
    </row>
    <row r="429" spans="1:1" ht="14.4" x14ac:dyDescent="0.3">
      <c r="A429" s="46"/>
    </row>
    <row r="430" spans="1:1" ht="14.4" x14ac:dyDescent="0.3">
      <c r="A430" s="46"/>
    </row>
    <row r="431" spans="1:1" ht="14.4" x14ac:dyDescent="0.3">
      <c r="A431" s="46"/>
    </row>
    <row r="432" spans="1:1" ht="14.4" x14ac:dyDescent="0.3">
      <c r="A432" s="46"/>
    </row>
    <row r="433" spans="1:1" ht="14.4" x14ac:dyDescent="0.3">
      <c r="A433" s="46"/>
    </row>
    <row r="434" spans="1:1" ht="14.4" x14ac:dyDescent="0.3">
      <c r="A434" s="46"/>
    </row>
    <row r="435" spans="1:1" ht="14.4" x14ac:dyDescent="0.3">
      <c r="A435" s="46"/>
    </row>
    <row r="436" spans="1:1" ht="14.4" x14ac:dyDescent="0.3">
      <c r="A436" s="46"/>
    </row>
    <row r="437" spans="1:1" ht="14.4" x14ac:dyDescent="0.3">
      <c r="A437" s="46"/>
    </row>
    <row r="438" spans="1:1" ht="14.4" x14ac:dyDescent="0.3">
      <c r="A438" s="46"/>
    </row>
    <row r="439" spans="1:1" ht="14.4" x14ac:dyDescent="0.3">
      <c r="A439" s="46"/>
    </row>
    <row r="440" spans="1:1" ht="14.4" x14ac:dyDescent="0.3">
      <c r="A440" s="46"/>
    </row>
    <row r="441" spans="1:1" ht="14.4" x14ac:dyDescent="0.3">
      <c r="A441" s="46"/>
    </row>
    <row r="442" spans="1:1" ht="14.4" x14ac:dyDescent="0.3">
      <c r="A442" s="46"/>
    </row>
    <row r="443" spans="1:1" ht="14.4" x14ac:dyDescent="0.3">
      <c r="A443" s="46"/>
    </row>
    <row r="444" spans="1:1" ht="14.4" x14ac:dyDescent="0.3">
      <c r="A444" s="46"/>
    </row>
    <row r="445" spans="1:1" ht="14.4" x14ac:dyDescent="0.3">
      <c r="A445" s="46"/>
    </row>
    <row r="446" spans="1:1" ht="14.4" x14ac:dyDescent="0.3">
      <c r="A446" s="46"/>
    </row>
    <row r="447" spans="1:1" ht="14.4" x14ac:dyDescent="0.3">
      <c r="A447" s="46"/>
    </row>
    <row r="448" spans="1:1" ht="14.4" x14ac:dyDescent="0.3">
      <c r="A448" s="46"/>
    </row>
    <row r="449" spans="1:1" ht="14.4" x14ac:dyDescent="0.3">
      <c r="A449" s="46"/>
    </row>
    <row r="450" spans="1:1" ht="14.4" x14ac:dyDescent="0.3">
      <c r="A450" s="46"/>
    </row>
    <row r="451" spans="1:1" ht="14.4" x14ac:dyDescent="0.3">
      <c r="A451" s="46"/>
    </row>
    <row r="452" spans="1:1" ht="14.4" x14ac:dyDescent="0.3">
      <c r="A452" s="46"/>
    </row>
    <row r="453" spans="1:1" ht="14.4" x14ac:dyDescent="0.3">
      <c r="A453" s="46"/>
    </row>
    <row r="454" spans="1:1" ht="14.4" x14ac:dyDescent="0.3">
      <c r="A454" s="46"/>
    </row>
    <row r="455" spans="1:1" ht="14.4" x14ac:dyDescent="0.3">
      <c r="A455" s="46"/>
    </row>
    <row r="456" spans="1:1" ht="14.4" x14ac:dyDescent="0.3">
      <c r="A456" s="46"/>
    </row>
    <row r="457" spans="1:1" ht="14.4" x14ac:dyDescent="0.3">
      <c r="A457" s="46"/>
    </row>
    <row r="458" spans="1:1" ht="14.4" x14ac:dyDescent="0.3">
      <c r="A458" s="46"/>
    </row>
    <row r="459" spans="1:1" ht="14.4" x14ac:dyDescent="0.3">
      <c r="A459" s="46"/>
    </row>
    <row r="460" spans="1:1" ht="14.4" x14ac:dyDescent="0.3">
      <c r="A460" s="46"/>
    </row>
    <row r="461" spans="1:1" ht="14.4" x14ac:dyDescent="0.3">
      <c r="A461" s="46"/>
    </row>
    <row r="462" spans="1:1" ht="14.4" x14ac:dyDescent="0.3">
      <c r="A462" s="46"/>
    </row>
    <row r="463" spans="1:1" ht="14.4" x14ac:dyDescent="0.3">
      <c r="A463" s="46"/>
    </row>
    <row r="464" spans="1:1" ht="14.4" x14ac:dyDescent="0.3">
      <c r="A464" s="46"/>
    </row>
    <row r="465" spans="1:1" ht="14.4" x14ac:dyDescent="0.3">
      <c r="A465" s="46"/>
    </row>
    <row r="466" spans="1:1" ht="14.4" x14ac:dyDescent="0.3">
      <c r="A466" s="46"/>
    </row>
    <row r="467" spans="1:1" ht="14.4" x14ac:dyDescent="0.3">
      <c r="A467" s="46"/>
    </row>
    <row r="468" spans="1:1" ht="14.4" x14ac:dyDescent="0.3">
      <c r="A468" s="46"/>
    </row>
    <row r="469" spans="1:1" ht="14.4" x14ac:dyDescent="0.3">
      <c r="A469" s="46"/>
    </row>
    <row r="470" spans="1:1" ht="14.4" x14ac:dyDescent="0.3">
      <c r="A470" s="46"/>
    </row>
    <row r="471" spans="1:1" ht="14.4" x14ac:dyDescent="0.3">
      <c r="A471" s="46"/>
    </row>
    <row r="472" spans="1:1" ht="14.4" x14ac:dyDescent="0.3">
      <c r="A472" s="46"/>
    </row>
    <row r="473" spans="1:1" ht="14.4" x14ac:dyDescent="0.3">
      <c r="A473" s="46"/>
    </row>
    <row r="474" spans="1:1" ht="14.4" x14ac:dyDescent="0.3">
      <c r="A474" s="46"/>
    </row>
    <row r="475" spans="1:1" ht="14.4" x14ac:dyDescent="0.3">
      <c r="A475" s="46"/>
    </row>
    <row r="476" spans="1:1" ht="14.4" x14ac:dyDescent="0.3">
      <c r="A476" s="46"/>
    </row>
    <row r="477" spans="1:1" ht="14.4" x14ac:dyDescent="0.3">
      <c r="A477" s="46"/>
    </row>
    <row r="478" spans="1:1" ht="14.4" x14ac:dyDescent="0.3">
      <c r="A478" s="46"/>
    </row>
    <row r="479" spans="1:1" ht="14.4" x14ac:dyDescent="0.3">
      <c r="A479" s="46"/>
    </row>
    <row r="480" spans="1:1" ht="14.4" x14ac:dyDescent="0.3">
      <c r="A480" s="46"/>
    </row>
    <row r="481" spans="1:1" ht="14.4" x14ac:dyDescent="0.3">
      <c r="A481" s="46"/>
    </row>
    <row r="482" spans="1:1" ht="14.4" x14ac:dyDescent="0.3">
      <c r="A482" s="46"/>
    </row>
    <row r="483" spans="1:1" ht="14.4" x14ac:dyDescent="0.3">
      <c r="A483" s="46"/>
    </row>
    <row r="484" spans="1:1" ht="14.4" x14ac:dyDescent="0.3">
      <c r="A484" s="46"/>
    </row>
    <row r="485" spans="1:1" ht="14.4" x14ac:dyDescent="0.3">
      <c r="A485" s="46"/>
    </row>
    <row r="486" spans="1:1" ht="14.4" x14ac:dyDescent="0.3">
      <c r="A486" s="46"/>
    </row>
    <row r="487" spans="1:1" ht="14.4" x14ac:dyDescent="0.3">
      <c r="A487" s="46"/>
    </row>
    <row r="488" spans="1:1" ht="14.4" x14ac:dyDescent="0.3">
      <c r="A488" s="46"/>
    </row>
    <row r="489" spans="1:1" ht="14.4" x14ac:dyDescent="0.3">
      <c r="A489" s="46"/>
    </row>
    <row r="490" spans="1:1" ht="14.4" x14ac:dyDescent="0.3">
      <c r="A490" s="46"/>
    </row>
    <row r="491" spans="1:1" ht="14.4" x14ac:dyDescent="0.3">
      <c r="A491" s="46"/>
    </row>
    <row r="492" spans="1:1" ht="14.4" x14ac:dyDescent="0.3">
      <c r="A492" s="46"/>
    </row>
    <row r="493" spans="1:1" ht="14.4" x14ac:dyDescent="0.3">
      <c r="A493" s="46"/>
    </row>
    <row r="494" spans="1:1" ht="14.4" x14ac:dyDescent="0.3">
      <c r="A494" s="46"/>
    </row>
    <row r="495" spans="1:1" ht="14.4" x14ac:dyDescent="0.3">
      <c r="A495" s="46"/>
    </row>
    <row r="496" spans="1:1" ht="14.4" x14ac:dyDescent="0.3">
      <c r="A496" s="46"/>
    </row>
    <row r="497" spans="1:1" ht="14.4" x14ac:dyDescent="0.3">
      <c r="A497" s="46"/>
    </row>
    <row r="498" spans="1:1" ht="14.4" x14ac:dyDescent="0.3">
      <c r="A498" s="46"/>
    </row>
    <row r="499" spans="1:1" ht="14.4" x14ac:dyDescent="0.3">
      <c r="A499" s="46"/>
    </row>
    <row r="500" spans="1:1" ht="14.4" x14ac:dyDescent="0.3">
      <c r="A500" s="46"/>
    </row>
    <row r="501" spans="1:1" ht="14.4" x14ac:dyDescent="0.3">
      <c r="A501" s="46"/>
    </row>
    <row r="502" spans="1:1" ht="14.4" x14ac:dyDescent="0.3">
      <c r="A502" s="46"/>
    </row>
    <row r="503" spans="1:1" ht="14.4" x14ac:dyDescent="0.3">
      <c r="A503" s="46"/>
    </row>
    <row r="504" spans="1:1" ht="14.4" x14ac:dyDescent="0.3">
      <c r="A504" s="46"/>
    </row>
    <row r="505" spans="1:1" ht="14.4" x14ac:dyDescent="0.3">
      <c r="A505" s="46"/>
    </row>
    <row r="506" spans="1:1" ht="14.4" x14ac:dyDescent="0.3">
      <c r="A506" s="46"/>
    </row>
    <row r="507" spans="1:1" ht="14.4" x14ac:dyDescent="0.3">
      <c r="A507" s="46"/>
    </row>
    <row r="508" spans="1:1" ht="14.4" x14ac:dyDescent="0.3">
      <c r="A508" s="46"/>
    </row>
    <row r="509" spans="1:1" ht="14.4" x14ac:dyDescent="0.3">
      <c r="A509" s="46"/>
    </row>
    <row r="510" spans="1:1" ht="14.4" x14ac:dyDescent="0.3">
      <c r="A510" s="46"/>
    </row>
    <row r="511" spans="1:1" ht="14.4" x14ac:dyDescent="0.3">
      <c r="A511" s="46"/>
    </row>
    <row r="512" spans="1:1" ht="14.4" x14ac:dyDescent="0.3">
      <c r="A512" s="46"/>
    </row>
    <row r="513" spans="1:1" ht="14.4" x14ac:dyDescent="0.3">
      <c r="A513" s="46"/>
    </row>
    <row r="514" spans="1:1" ht="14.4" x14ac:dyDescent="0.3">
      <c r="A514" s="46"/>
    </row>
    <row r="515" spans="1:1" ht="14.4" x14ac:dyDescent="0.3">
      <c r="A515" s="46"/>
    </row>
    <row r="516" spans="1:1" ht="14.4" x14ac:dyDescent="0.3">
      <c r="A516" s="46"/>
    </row>
    <row r="517" spans="1:1" ht="14.4" x14ac:dyDescent="0.3">
      <c r="A517" s="46"/>
    </row>
    <row r="518" spans="1:1" ht="14.4" x14ac:dyDescent="0.3">
      <c r="A518" s="46"/>
    </row>
    <row r="519" spans="1:1" ht="14.4" x14ac:dyDescent="0.3">
      <c r="A519" s="46"/>
    </row>
    <row r="520" spans="1:1" ht="14.4" x14ac:dyDescent="0.3">
      <c r="A520" s="46"/>
    </row>
    <row r="521" spans="1:1" ht="14.4" x14ac:dyDescent="0.3">
      <c r="A521" s="46"/>
    </row>
    <row r="522" spans="1:1" ht="14.4" x14ac:dyDescent="0.3">
      <c r="A522" s="46"/>
    </row>
    <row r="523" spans="1:1" ht="14.4" x14ac:dyDescent="0.3">
      <c r="A523" s="46"/>
    </row>
    <row r="524" spans="1:1" ht="14.4" x14ac:dyDescent="0.3">
      <c r="A524" s="46"/>
    </row>
    <row r="525" spans="1:1" ht="14.4" x14ac:dyDescent="0.3">
      <c r="A525" s="46"/>
    </row>
    <row r="526" spans="1:1" ht="14.4" x14ac:dyDescent="0.3">
      <c r="A526" s="46"/>
    </row>
    <row r="527" spans="1:1" ht="14.4" x14ac:dyDescent="0.3">
      <c r="A527" s="46"/>
    </row>
    <row r="528" spans="1:1" ht="14.4" x14ac:dyDescent="0.3">
      <c r="A528" s="46"/>
    </row>
    <row r="529" spans="1:1" ht="14.4" x14ac:dyDescent="0.3">
      <c r="A529" s="46"/>
    </row>
    <row r="530" spans="1:1" ht="14.4" x14ac:dyDescent="0.3">
      <c r="A530" s="46"/>
    </row>
    <row r="531" spans="1:1" ht="14.4" x14ac:dyDescent="0.3">
      <c r="A531" s="46"/>
    </row>
    <row r="532" spans="1:1" ht="14.4" x14ac:dyDescent="0.3">
      <c r="A532" s="46"/>
    </row>
    <row r="533" spans="1:1" ht="14.4" x14ac:dyDescent="0.3">
      <c r="A533" s="46"/>
    </row>
    <row r="534" spans="1:1" ht="14.4" x14ac:dyDescent="0.3">
      <c r="A534" s="46"/>
    </row>
    <row r="535" spans="1:1" ht="14.4" x14ac:dyDescent="0.3">
      <c r="A535" s="46"/>
    </row>
    <row r="536" spans="1:1" ht="14.4" x14ac:dyDescent="0.3">
      <c r="A536" s="46"/>
    </row>
    <row r="537" spans="1:1" ht="14.4" x14ac:dyDescent="0.3">
      <c r="A537" s="46"/>
    </row>
    <row r="538" spans="1:1" ht="14.4" x14ac:dyDescent="0.3">
      <c r="A538" s="46"/>
    </row>
    <row r="539" spans="1:1" ht="14.4" x14ac:dyDescent="0.3">
      <c r="A539" s="46"/>
    </row>
    <row r="540" spans="1:1" ht="14.4" x14ac:dyDescent="0.3">
      <c r="A540" s="46"/>
    </row>
    <row r="541" spans="1:1" ht="14.4" x14ac:dyDescent="0.3">
      <c r="A541" s="46"/>
    </row>
    <row r="542" spans="1:1" ht="14.4" x14ac:dyDescent="0.3">
      <c r="A542" s="46"/>
    </row>
    <row r="543" spans="1:1" ht="14.4" x14ac:dyDescent="0.3">
      <c r="A543" s="46"/>
    </row>
    <row r="544" spans="1:1" ht="14.4" x14ac:dyDescent="0.3">
      <c r="A544" s="46"/>
    </row>
    <row r="545" spans="1:1" ht="14.4" x14ac:dyDescent="0.3">
      <c r="A545" s="46"/>
    </row>
    <row r="546" spans="1:1" ht="14.4" x14ac:dyDescent="0.3">
      <c r="A546" s="46"/>
    </row>
    <row r="547" spans="1:1" ht="14.4" x14ac:dyDescent="0.3">
      <c r="A547" s="46"/>
    </row>
    <row r="548" spans="1:1" ht="14.4" x14ac:dyDescent="0.3">
      <c r="A548" s="46"/>
    </row>
    <row r="549" spans="1:1" ht="14.4" x14ac:dyDescent="0.3">
      <c r="A549" s="46"/>
    </row>
    <row r="550" spans="1:1" ht="14.4" x14ac:dyDescent="0.3">
      <c r="A550" s="46"/>
    </row>
    <row r="551" spans="1:1" ht="14.4" x14ac:dyDescent="0.3">
      <c r="A551" s="46"/>
    </row>
    <row r="552" spans="1:1" ht="14.4" x14ac:dyDescent="0.3">
      <c r="A552" s="46"/>
    </row>
    <row r="553" spans="1:1" ht="14.4" x14ac:dyDescent="0.3">
      <c r="A553" s="46"/>
    </row>
    <row r="554" spans="1:1" ht="14.4" x14ac:dyDescent="0.3">
      <c r="A554" s="46"/>
    </row>
    <row r="555" spans="1:1" ht="14.4" x14ac:dyDescent="0.3">
      <c r="A555" s="46"/>
    </row>
    <row r="556" spans="1:1" ht="14.4" x14ac:dyDescent="0.3">
      <c r="A556" s="46"/>
    </row>
    <row r="557" spans="1:1" ht="14.4" x14ac:dyDescent="0.3">
      <c r="A557" s="46"/>
    </row>
    <row r="558" spans="1:1" ht="14.4" x14ac:dyDescent="0.3">
      <c r="A558" s="46"/>
    </row>
    <row r="559" spans="1:1" ht="14.4" x14ac:dyDescent="0.3">
      <c r="A559" s="46"/>
    </row>
    <row r="560" spans="1:1" ht="14.4" x14ac:dyDescent="0.3">
      <c r="A560" s="46"/>
    </row>
    <row r="561" spans="1:1" ht="14.4" x14ac:dyDescent="0.3">
      <c r="A561" s="46"/>
    </row>
    <row r="562" spans="1:1" ht="14.4" x14ac:dyDescent="0.3">
      <c r="A562" s="46"/>
    </row>
    <row r="563" spans="1:1" ht="14.4" x14ac:dyDescent="0.3">
      <c r="A563" s="46"/>
    </row>
    <row r="564" spans="1:1" ht="14.4" x14ac:dyDescent="0.3">
      <c r="A564" s="46"/>
    </row>
    <row r="565" spans="1:1" ht="14.4" x14ac:dyDescent="0.3">
      <c r="A565" s="46"/>
    </row>
    <row r="566" spans="1:1" ht="14.4" x14ac:dyDescent="0.3">
      <c r="A566" s="46"/>
    </row>
    <row r="567" spans="1:1" ht="14.4" x14ac:dyDescent="0.3">
      <c r="A567" s="46"/>
    </row>
    <row r="568" spans="1:1" ht="14.4" x14ac:dyDescent="0.3">
      <c r="A568" s="46"/>
    </row>
    <row r="569" spans="1:1" ht="14.4" x14ac:dyDescent="0.3">
      <c r="A569" s="46"/>
    </row>
    <row r="570" spans="1:1" ht="14.4" x14ac:dyDescent="0.3">
      <c r="A570" s="46"/>
    </row>
    <row r="571" spans="1:1" ht="14.4" x14ac:dyDescent="0.3">
      <c r="A571" s="46"/>
    </row>
    <row r="572" spans="1:1" ht="14.4" x14ac:dyDescent="0.3">
      <c r="A572" s="46"/>
    </row>
    <row r="573" spans="1:1" ht="14.4" x14ac:dyDescent="0.3">
      <c r="A573" s="46"/>
    </row>
    <row r="574" spans="1:1" ht="14.4" x14ac:dyDescent="0.3">
      <c r="A574" s="46"/>
    </row>
    <row r="575" spans="1:1" ht="14.4" x14ac:dyDescent="0.3">
      <c r="A575" s="46"/>
    </row>
    <row r="576" spans="1:1" ht="14.4" x14ac:dyDescent="0.3">
      <c r="A576" s="46"/>
    </row>
    <row r="577" spans="1:1" ht="14.4" x14ac:dyDescent="0.3">
      <c r="A577" s="46"/>
    </row>
    <row r="578" spans="1:1" ht="14.4" x14ac:dyDescent="0.3">
      <c r="A578" s="46"/>
    </row>
    <row r="579" spans="1:1" ht="14.4" x14ac:dyDescent="0.3">
      <c r="A579" s="46"/>
    </row>
    <row r="580" spans="1:1" ht="14.4" x14ac:dyDescent="0.3">
      <c r="A580" s="46"/>
    </row>
    <row r="581" spans="1:1" ht="14.4" x14ac:dyDescent="0.3">
      <c r="A581" s="46"/>
    </row>
    <row r="582" spans="1:1" ht="14.4" x14ac:dyDescent="0.3">
      <c r="A582" s="46"/>
    </row>
    <row r="583" spans="1:1" ht="14.4" x14ac:dyDescent="0.3">
      <c r="A583" s="46"/>
    </row>
    <row r="584" spans="1:1" ht="14.4" x14ac:dyDescent="0.3">
      <c r="A584" s="46"/>
    </row>
    <row r="585" spans="1:1" ht="14.4" x14ac:dyDescent="0.3">
      <c r="A585" s="46"/>
    </row>
    <row r="586" spans="1:1" ht="14.4" x14ac:dyDescent="0.3">
      <c r="A586" s="46"/>
    </row>
    <row r="587" spans="1:1" ht="14.4" x14ac:dyDescent="0.3">
      <c r="A587" s="46"/>
    </row>
    <row r="588" spans="1:1" ht="14.4" x14ac:dyDescent="0.3">
      <c r="A588" s="46"/>
    </row>
    <row r="589" spans="1:1" ht="14.4" x14ac:dyDescent="0.3">
      <c r="A589" s="46"/>
    </row>
    <row r="590" spans="1:1" ht="14.4" x14ac:dyDescent="0.3">
      <c r="A590" s="46"/>
    </row>
    <row r="591" spans="1:1" ht="14.4" x14ac:dyDescent="0.3">
      <c r="A591" s="46"/>
    </row>
    <row r="592" spans="1:1" ht="14.4" x14ac:dyDescent="0.3">
      <c r="A592" s="46"/>
    </row>
    <row r="593" spans="1:1" ht="14.4" x14ac:dyDescent="0.3">
      <c r="A593" s="46"/>
    </row>
    <row r="594" spans="1:1" ht="14.4" x14ac:dyDescent="0.3">
      <c r="A594" s="46"/>
    </row>
    <row r="595" spans="1:1" ht="14.4" x14ac:dyDescent="0.3">
      <c r="A595" s="46"/>
    </row>
    <row r="596" spans="1:1" ht="14.4" x14ac:dyDescent="0.3">
      <c r="A596" s="46"/>
    </row>
    <row r="597" spans="1:1" ht="14.4" x14ac:dyDescent="0.3">
      <c r="A597" s="46"/>
    </row>
    <row r="598" spans="1:1" ht="14.4" x14ac:dyDescent="0.3">
      <c r="A598" s="46"/>
    </row>
    <row r="599" spans="1:1" ht="14.4" x14ac:dyDescent="0.3">
      <c r="A599" s="46"/>
    </row>
    <row r="600" spans="1:1" ht="14.4" x14ac:dyDescent="0.3">
      <c r="A600" s="46"/>
    </row>
    <row r="601" spans="1:1" ht="14.4" x14ac:dyDescent="0.3">
      <c r="A601" s="46"/>
    </row>
    <row r="602" spans="1:1" ht="14.4" x14ac:dyDescent="0.3">
      <c r="A602" s="46"/>
    </row>
    <row r="603" spans="1:1" ht="14.4" x14ac:dyDescent="0.3">
      <c r="A603" s="46"/>
    </row>
    <row r="604" spans="1:1" ht="14.4" x14ac:dyDescent="0.3">
      <c r="A604" s="46"/>
    </row>
    <row r="605" spans="1:1" ht="14.4" x14ac:dyDescent="0.3">
      <c r="A605" s="46"/>
    </row>
    <row r="606" spans="1:1" ht="14.4" x14ac:dyDescent="0.3">
      <c r="A606" s="46"/>
    </row>
    <row r="607" spans="1:1" ht="14.4" x14ac:dyDescent="0.3">
      <c r="A607" s="46"/>
    </row>
    <row r="608" spans="1:1" ht="14.4" x14ac:dyDescent="0.3">
      <c r="A608" s="46"/>
    </row>
    <row r="609" spans="1:1" ht="14.4" x14ac:dyDescent="0.3">
      <c r="A609" s="46"/>
    </row>
    <row r="610" spans="1:1" ht="14.4" x14ac:dyDescent="0.3">
      <c r="A610" s="46"/>
    </row>
    <row r="611" spans="1:1" ht="14.4" x14ac:dyDescent="0.3">
      <c r="A611" s="46"/>
    </row>
    <row r="612" spans="1:1" ht="14.4" x14ac:dyDescent="0.3">
      <c r="A612" s="46"/>
    </row>
    <row r="613" spans="1:1" ht="14.4" x14ac:dyDescent="0.3">
      <c r="A613" s="46"/>
    </row>
    <row r="614" spans="1:1" ht="14.4" x14ac:dyDescent="0.3">
      <c r="A614" s="46"/>
    </row>
    <row r="615" spans="1:1" ht="14.4" x14ac:dyDescent="0.3">
      <c r="A615" s="46"/>
    </row>
    <row r="616" spans="1:1" ht="14.4" x14ac:dyDescent="0.3">
      <c r="A616" s="46"/>
    </row>
    <row r="617" spans="1:1" ht="14.4" x14ac:dyDescent="0.3">
      <c r="A617" s="46"/>
    </row>
    <row r="618" spans="1:1" ht="14.4" x14ac:dyDescent="0.3">
      <c r="A618" s="46"/>
    </row>
    <row r="619" spans="1:1" ht="14.4" x14ac:dyDescent="0.3">
      <c r="A619" s="46"/>
    </row>
    <row r="620" spans="1:1" ht="14.4" x14ac:dyDescent="0.3">
      <c r="A620" s="46"/>
    </row>
    <row r="621" spans="1:1" ht="14.4" x14ac:dyDescent="0.3">
      <c r="A621" s="46"/>
    </row>
    <row r="622" spans="1:1" ht="14.4" x14ac:dyDescent="0.3">
      <c r="A622" s="46"/>
    </row>
    <row r="623" spans="1:1" ht="14.4" x14ac:dyDescent="0.3">
      <c r="A623" s="46"/>
    </row>
    <row r="624" spans="1:1" ht="14.4" x14ac:dyDescent="0.3">
      <c r="A624" s="46"/>
    </row>
    <row r="625" spans="1:1" ht="14.4" x14ac:dyDescent="0.3">
      <c r="A625" s="46"/>
    </row>
    <row r="626" spans="1:1" ht="14.4" x14ac:dyDescent="0.3">
      <c r="A626" s="46"/>
    </row>
    <row r="627" spans="1:1" ht="14.4" x14ac:dyDescent="0.3">
      <c r="A627" s="46"/>
    </row>
    <row r="628" spans="1:1" ht="14.4" x14ac:dyDescent="0.3">
      <c r="A628" s="46"/>
    </row>
    <row r="629" spans="1:1" ht="14.4" x14ac:dyDescent="0.3">
      <c r="A629" s="46"/>
    </row>
    <row r="630" spans="1:1" ht="14.4" x14ac:dyDescent="0.3">
      <c r="A630" s="46"/>
    </row>
    <row r="631" spans="1:1" ht="14.4" x14ac:dyDescent="0.3">
      <c r="A631" s="46"/>
    </row>
    <row r="632" spans="1:1" ht="14.4" x14ac:dyDescent="0.3">
      <c r="A632" s="46"/>
    </row>
    <row r="633" spans="1:1" ht="14.4" x14ac:dyDescent="0.3">
      <c r="A633" s="46"/>
    </row>
    <row r="634" spans="1:1" ht="14.4" x14ac:dyDescent="0.3">
      <c r="A634" s="46"/>
    </row>
    <row r="635" spans="1:1" ht="14.4" x14ac:dyDescent="0.3">
      <c r="A635" s="46"/>
    </row>
    <row r="636" spans="1:1" ht="14.4" x14ac:dyDescent="0.3">
      <c r="A636" s="46"/>
    </row>
    <row r="637" spans="1:1" ht="14.4" x14ac:dyDescent="0.3">
      <c r="A637" s="46"/>
    </row>
    <row r="638" spans="1:1" ht="14.4" x14ac:dyDescent="0.3">
      <c r="A638" s="46"/>
    </row>
    <row r="639" spans="1:1" ht="14.4" x14ac:dyDescent="0.3">
      <c r="A639" s="46"/>
    </row>
    <row r="640" spans="1:1" ht="14.4" x14ac:dyDescent="0.3">
      <c r="A640" s="46"/>
    </row>
    <row r="641" spans="1:1" ht="14.4" x14ac:dyDescent="0.3">
      <c r="A641" s="46"/>
    </row>
    <row r="642" spans="1:1" ht="14.4" x14ac:dyDescent="0.3">
      <c r="A642" s="46"/>
    </row>
    <row r="643" spans="1:1" ht="14.4" x14ac:dyDescent="0.3">
      <c r="A643" s="46"/>
    </row>
    <row r="644" spans="1:1" ht="14.4" x14ac:dyDescent="0.3">
      <c r="A644" s="46"/>
    </row>
    <row r="645" spans="1:1" ht="14.4" x14ac:dyDescent="0.3">
      <c r="A645" s="46"/>
    </row>
    <row r="646" spans="1:1" ht="14.4" x14ac:dyDescent="0.3">
      <c r="A646" s="46"/>
    </row>
    <row r="647" spans="1:1" ht="14.4" x14ac:dyDescent="0.3">
      <c r="A647" s="46"/>
    </row>
    <row r="648" spans="1:1" ht="14.4" x14ac:dyDescent="0.3">
      <c r="A648" s="46"/>
    </row>
    <row r="649" spans="1:1" ht="14.4" x14ac:dyDescent="0.3">
      <c r="A649" s="46"/>
    </row>
    <row r="650" spans="1:1" ht="14.4" x14ac:dyDescent="0.3">
      <c r="A650" s="46"/>
    </row>
    <row r="651" spans="1:1" ht="14.4" x14ac:dyDescent="0.3">
      <c r="A651" s="46"/>
    </row>
    <row r="652" spans="1:1" ht="14.4" x14ac:dyDescent="0.3">
      <c r="A652" s="46"/>
    </row>
    <row r="653" spans="1:1" ht="14.4" x14ac:dyDescent="0.3">
      <c r="A653" s="46"/>
    </row>
    <row r="654" spans="1:1" ht="14.4" x14ac:dyDescent="0.3">
      <c r="A654" s="46"/>
    </row>
    <row r="655" spans="1:1" ht="14.4" x14ac:dyDescent="0.3">
      <c r="A655" s="46"/>
    </row>
    <row r="656" spans="1:1" ht="14.4" x14ac:dyDescent="0.3">
      <c r="A656" s="46"/>
    </row>
    <row r="657" spans="1:1" ht="14.4" x14ac:dyDescent="0.3">
      <c r="A657" s="46"/>
    </row>
    <row r="658" spans="1:1" ht="14.4" x14ac:dyDescent="0.3">
      <c r="A658" s="46"/>
    </row>
    <row r="659" spans="1:1" ht="14.4" x14ac:dyDescent="0.3">
      <c r="A659" s="46"/>
    </row>
    <row r="660" spans="1:1" ht="14.4" x14ac:dyDescent="0.3">
      <c r="A660" s="46"/>
    </row>
    <row r="661" spans="1:1" ht="14.4" x14ac:dyDescent="0.3">
      <c r="A661" s="46"/>
    </row>
    <row r="662" spans="1:1" ht="14.4" x14ac:dyDescent="0.3">
      <c r="A662" s="46"/>
    </row>
    <row r="663" spans="1:1" ht="14.4" x14ac:dyDescent="0.3">
      <c r="A663" s="46"/>
    </row>
    <row r="664" spans="1:1" ht="14.4" x14ac:dyDescent="0.3">
      <c r="A664" s="46"/>
    </row>
    <row r="665" spans="1:1" ht="14.4" x14ac:dyDescent="0.3">
      <c r="A665" s="46"/>
    </row>
    <row r="666" spans="1:1" ht="14.4" x14ac:dyDescent="0.3">
      <c r="A666" s="46"/>
    </row>
    <row r="667" spans="1:1" ht="14.4" x14ac:dyDescent="0.3">
      <c r="A667" s="46"/>
    </row>
    <row r="668" spans="1:1" ht="14.4" x14ac:dyDescent="0.3">
      <c r="A668" s="46"/>
    </row>
    <row r="669" spans="1:1" ht="14.4" x14ac:dyDescent="0.3">
      <c r="A669" s="46"/>
    </row>
    <row r="670" spans="1:1" ht="14.4" x14ac:dyDescent="0.3">
      <c r="A670" s="46"/>
    </row>
    <row r="671" spans="1:1" ht="14.4" x14ac:dyDescent="0.3">
      <c r="A671" s="46"/>
    </row>
    <row r="672" spans="1:1" ht="14.4" x14ac:dyDescent="0.3">
      <c r="A672" s="46"/>
    </row>
    <row r="673" spans="1:1" ht="14.4" x14ac:dyDescent="0.3">
      <c r="A673" s="46"/>
    </row>
    <row r="674" spans="1:1" ht="14.4" x14ac:dyDescent="0.3">
      <c r="A674" s="46"/>
    </row>
    <row r="675" spans="1:1" ht="14.4" x14ac:dyDescent="0.3">
      <c r="A675" s="46"/>
    </row>
    <row r="676" spans="1:1" ht="14.4" x14ac:dyDescent="0.3">
      <c r="A676" s="46"/>
    </row>
    <row r="677" spans="1:1" ht="14.4" x14ac:dyDescent="0.3">
      <c r="A677" s="46"/>
    </row>
    <row r="678" spans="1:1" ht="14.4" x14ac:dyDescent="0.3">
      <c r="A678" s="46"/>
    </row>
    <row r="679" spans="1:1" ht="14.4" x14ac:dyDescent="0.3">
      <c r="A679" s="46"/>
    </row>
    <row r="680" spans="1:1" ht="14.4" x14ac:dyDescent="0.3">
      <c r="A680" s="46"/>
    </row>
    <row r="681" spans="1:1" ht="14.4" x14ac:dyDescent="0.3">
      <c r="A681" s="46"/>
    </row>
    <row r="682" spans="1:1" ht="14.4" x14ac:dyDescent="0.3">
      <c r="A682" s="46"/>
    </row>
    <row r="683" spans="1:1" ht="14.4" x14ac:dyDescent="0.3">
      <c r="A683" s="46"/>
    </row>
    <row r="684" spans="1:1" ht="14.4" x14ac:dyDescent="0.3">
      <c r="A684" s="46"/>
    </row>
    <row r="685" spans="1:1" ht="14.4" x14ac:dyDescent="0.3">
      <c r="A685" s="46"/>
    </row>
    <row r="686" spans="1:1" ht="14.4" x14ac:dyDescent="0.3">
      <c r="A686" s="46"/>
    </row>
    <row r="687" spans="1:1" ht="14.4" x14ac:dyDescent="0.3">
      <c r="A687" s="46"/>
    </row>
    <row r="688" spans="1:1" ht="14.4" x14ac:dyDescent="0.3">
      <c r="A688" s="46"/>
    </row>
    <row r="689" spans="1:1" ht="14.4" x14ac:dyDescent="0.3">
      <c r="A689" s="46"/>
    </row>
    <row r="690" spans="1:1" ht="14.4" x14ac:dyDescent="0.3">
      <c r="A690" s="46"/>
    </row>
    <row r="691" spans="1:1" ht="14.4" x14ac:dyDescent="0.3">
      <c r="A691" s="46"/>
    </row>
    <row r="692" spans="1:1" ht="14.4" x14ac:dyDescent="0.3">
      <c r="A692" s="46"/>
    </row>
    <row r="693" spans="1:1" ht="14.4" x14ac:dyDescent="0.3">
      <c r="A693" s="46"/>
    </row>
    <row r="694" spans="1:1" ht="14.4" x14ac:dyDescent="0.3">
      <c r="A694" s="46"/>
    </row>
    <row r="695" spans="1:1" ht="14.4" x14ac:dyDescent="0.3">
      <c r="A695" s="46"/>
    </row>
    <row r="696" spans="1:1" ht="14.4" x14ac:dyDescent="0.3">
      <c r="A696" s="46"/>
    </row>
    <row r="697" spans="1:1" ht="14.4" x14ac:dyDescent="0.3">
      <c r="A697" s="46"/>
    </row>
    <row r="698" spans="1:1" ht="14.4" x14ac:dyDescent="0.3">
      <c r="A698" s="46"/>
    </row>
    <row r="699" spans="1:1" ht="14.4" x14ac:dyDescent="0.3">
      <c r="A699" s="46"/>
    </row>
    <row r="700" spans="1:1" ht="14.4" x14ac:dyDescent="0.3">
      <c r="A700" s="46"/>
    </row>
    <row r="701" spans="1:1" ht="14.4" x14ac:dyDescent="0.3">
      <c r="A701" s="46"/>
    </row>
    <row r="702" spans="1:1" ht="14.4" x14ac:dyDescent="0.3">
      <c r="A702" s="46"/>
    </row>
    <row r="703" spans="1:1" ht="14.4" x14ac:dyDescent="0.3">
      <c r="A703" s="46"/>
    </row>
    <row r="704" spans="1:1" ht="14.4" x14ac:dyDescent="0.3">
      <c r="A704" s="46"/>
    </row>
    <row r="705" spans="1:1" ht="14.4" x14ac:dyDescent="0.3">
      <c r="A705" s="46"/>
    </row>
    <row r="706" spans="1:1" ht="14.4" x14ac:dyDescent="0.3">
      <c r="A706" s="46"/>
    </row>
    <row r="707" spans="1:1" ht="14.4" x14ac:dyDescent="0.3">
      <c r="A707" s="46"/>
    </row>
    <row r="708" spans="1:1" ht="14.4" x14ac:dyDescent="0.3">
      <c r="A708" s="46"/>
    </row>
    <row r="709" spans="1:1" ht="14.4" x14ac:dyDescent="0.3">
      <c r="A709" s="46"/>
    </row>
    <row r="710" spans="1:1" ht="14.4" x14ac:dyDescent="0.3">
      <c r="A710" s="46"/>
    </row>
    <row r="711" spans="1:1" ht="14.4" x14ac:dyDescent="0.3">
      <c r="A711" s="46"/>
    </row>
    <row r="712" spans="1:1" ht="14.4" x14ac:dyDescent="0.3">
      <c r="A712" s="46"/>
    </row>
    <row r="713" spans="1:1" ht="14.4" x14ac:dyDescent="0.3">
      <c r="A713" s="46"/>
    </row>
    <row r="714" spans="1:1" ht="14.4" x14ac:dyDescent="0.3">
      <c r="A714" s="46"/>
    </row>
    <row r="715" spans="1:1" ht="14.4" x14ac:dyDescent="0.3">
      <c r="A715" s="46"/>
    </row>
    <row r="716" spans="1:1" ht="14.4" x14ac:dyDescent="0.3">
      <c r="A716" s="46"/>
    </row>
    <row r="717" spans="1:1" ht="14.4" x14ac:dyDescent="0.3">
      <c r="A717" s="46"/>
    </row>
    <row r="718" spans="1:1" ht="14.4" x14ac:dyDescent="0.3">
      <c r="A718" s="46"/>
    </row>
    <row r="719" spans="1:1" ht="14.4" x14ac:dyDescent="0.3">
      <c r="A719" s="46"/>
    </row>
    <row r="720" spans="1:1" ht="14.4" x14ac:dyDescent="0.3">
      <c r="A720" s="46"/>
    </row>
    <row r="721" spans="1:1" ht="14.4" x14ac:dyDescent="0.3">
      <c r="A721" s="46"/>
    </row>
    <row r="722" spans="1:1" ht="14.4" x14ac:dyDescent="0.3">
      <c r="A722" s="46"/>
    </row>
    <row r="723" spans="1:1" ht="14.4" x14ac:dyDescent="0.3">
      <c r="A723" s="46"/>
    </row>
    <row r="724" spans="1:1" ht="14.4" x14ac:dyDescent="0.3">
      <c r="A724" s="46"/>
    </row>
    <row r="725" spans="1:1" ht="14.4" x14ac:dyDescent="0.3">
      <c r="A725" s="46"/>
    </row>
    <row r="726" spans="1:1" ht="14.4" x14ac:dyDescent="0.3">
      <c r="A726" s="46"/>
    </row>
    <row r="727" spans="1:1" ht="14.4" x14ac:dyDescent="0.3">
      <c r="A727" s="46"/>
    </row>
    <row r="728" spans="1:1" ht="14.4" x14ac:dyDescent="0.3">
      <c r="A728" s="46"/>
    </row>
    <row r="729" spans="1:1" ht="14.4" x14ac:dyDescent="0.3">
      <c r="A729" s="46"/>
    </row>
    <row r="730" spans="1:1" ht="14.4" x14ac:dyDescent="0.3">
      <c r="A730" s="46"/>
    </row>
    <row r="731" spans="1:1" ht="14.4" x14ac:dyDescent="0.3">
      <c r="A731" s="46"/>
    </row>
    <row r="732" spans="1:1" ht="14.4" x14ac:dyDescent="0.3">
      <c r="A732" s="46"/>
    </row>
    <row r="733" spans="1:1" ht="14.4" x14ac:dyDescent="0.3">
      <c r="A733" s="46"/>
    </row>
    <row r="734" spans="1:1" ht="14.4" x14ac:dyDescent="0.3">
      <c r="A734" s="46"/>
    </row>
    <row r="735" spans="1:1" ht="14.4" x14ac:dyDescent="0.3">
      <c r="A735" s="46"/>
    </row>
    <row r="736" spans="1:1" ht="14.4" x14ac:dyDescent="0.3">
      <c r="A736" s="46"/>
    </row>
    <row r="737" spans="1:1" ht="14.4" x14ac:dyDescent="0.3">
      <c r="A737" s="46"/>
    </row>
    <row r="738" spans="1:1" ht="14.4" x14ac:dyDescent="0.3">
      <c r="A738" s="46"/>
    </row>
    <row r="739" spans="1:1" ht="14.4" x14ac:dyDescent="0.3">
      <c r="A739" s="46"/>
    </row>
    <row r="740" spans="1:1" ht="14.4" x14ac:dyDescent="0.3">
      <c r="A740" s="46"/>
    </row>
    <row r="741" spans="1:1" ht="14.4" x14ac:dyDescent="0.3">
      <c r="A741" s="46"/>
    </row>
    <row r="742" spans="1:1" ht="14.4" x14ac:dyDescent="0.3">
      <c r="A742" s="46"/>
    </row>
    <row r="743" spans="1:1" ht="14.4" x14ac:dyDescent="0.3">
      <c r="A743" s="46"/>
    </row>
    <row r="744" spans="1:1" ht="14.4" x14ac:dyDescent="0.3">
      <c r="A744" s="46"/>
    </row>
    <row r="745" spans="1:1" ht="14.4" x14ac:dyDescent="0.3">
      <c r="A745" s="46"/>
    </row>
    <row r="746" spans="1:1" ht="14.4" x14ac:dyDescent="0.3">
      <c r="A746" s="46"/>
    </row>
    <row r="747" spans="1:1" ht="14.4" x14ac:dyDescent="0.3">
      <c r="A747" s="46"/>
    </row>
    <row r="748" spans="1:1" ht="14.4" x14ac:dyDescent="0.3">
      <c r="A748" s="46"/>
    </row>
    <row r="749" spans="1:1" ht="14.4" x14ac:dyDescent="0.3">
      <c r="A749" s="46"/>
    </row>
    <row r="750" spans="1:1" ht="14.4" x14ac:dyDescent="0.3">
      <c r="A750" s="46"/>
    </row>
    <row r="751" spans="1:1" ht="14.4" x14ac:dyDescent="0.3">
      <c r="A751" s="46"/>
    </row>
    <row r="752" spans="1:1" ht="14.4" x14ac:dyDescent="0.3">
      <c r="A752" s="46"/>
    </row>
    <row r="753" spans="1:1" ht="14.4" x14ac:dyDescent="0.3">
      <c r="A753" s="46"/>
    </row>
    <row r="754" spans="1:1" ht="14.4" x14ac:dyDescent="0.3">
      <c r="A754" s="46"/>
    </row>
    <row r="755" spans="1:1" ht="14.4" x14ac:dyDescent="0.3">
      <c r="A755" s="46"/>
    </row>
    <row r="756" spans="1:1" ht="14.4" x14ac:dyDescent="0.3">
      <c r="A756" s="46"/>
    </row>
    <row r="757" spans="1:1" ht="14.4" x14ac:dyDescent="0.3">
      <c r="A757" s="46"/>
    </row>
    <row r="758" spans="1:1" ht="14.4" x14ac:dyDescent="0.3">
      <c r="A758" s="46"/>
    </row>
    <row r="759" spans="1:1" ht="14.4" x14ac:dyDescent="0.3">
      <c r="A759" s="46"/>
    </row>
    <row r="760" spans="1:1" ht="14.4" x14ac:dyDescent="0.3">
      <c r="A760" s="46"/>
    </row>
    <row r="761" spans="1:1" ht="14.4" x14ac:dyDescent="0.3">
      <c r="A761" s="46"/>
    </row>
    <row r="762" spans="1:1" ht="14.4" x14ac:dyDescent="0.3">
      <c r="A762" s="46"/>
    </row>
    <row r="763" spans="1:1" ht="14.4" x14ac:dyDescent="0.3">
      <c r="A763" s="46"/>
    </row>
    <row r="764" spans="1:1" ht="14.4" x14ac:dyDescent="0.3">
      <c r="A764" s="46"/>
    </row>
    <row r="765" spans="1:1" ht="14.4" x14ac:dyDescent="0.3">
      <c r="A765" s="46"/>
    </row>
    <row r="766" spans="1:1" ht="14.4" x14ac:dyDescent="0.3">
      <c r="A766" s="46"/>
    </row>
    <row r="767" spans="1:1" ht="14.4" x14ac:dyDescent="0.3">
      <c r="A767" s="46"/>
    </row>
    <row r="768" spans="1:1" ht="14.4" x14ac:dyDescent="0.3">
      <c r="A768" s="46"/>
    </row>
    <row r="769" spans="1:1" ht="14.4" x14ac:dyDescent="0.3">
      <c r="A769" s="46"/>
    </row>
    <row r="770" spans="1:1" ht="14.4" x14ac:dyDescent="0.3">
      <c r="A770" s="46"/>
    </row>
    <row r="771" spans="1:1" ht="14.4" x14ac:dyDescent="0.3">
      <c r="A771" s="46"/>
    </row>
    <row r="772" spans="1:1" ht="14.4" x14ac:dyDescent="0.3">
      <c r="A772" s="46"/>
    </row>
    <row r="773" spans="1:1" ht="14.4" x14ac:dyDescent="0.3">
      <c r="A773" s="46"/>
    </row>
    <row r="774" spans="1:1" ht="14.4" x14ac:dyDescent="0.3">
      <c r="A774" s="46"/>
    </row>
    <row r="775" spans="1:1" ht="14.4" x14ac:dyDescent="0.3">
      <c r="A775" s="46"/>
    </row>
    <row r="776" spans="1:1" ht="14.4" x14ac:dyDescent="0.3">
      <c r="A776" s="46"/>
    </row>
    <row r="777" spans="1:1" ht="14.4" x14ac:dyDescent="0.3">
      <c r="A777" s="46"/>
    </row>
    <row r="778" spans="1:1" ht="14.4" x14ac:dyDescent="0.3">
      <c r="A778" s="46"/>
    </row>
    <row r="779" spans="1:1" ht="14.4" x14ac:dyDescent="0.3">
      <c r="A779" s="46"/>
    </row>
    <row r="780" spans="1:1" ht="14.4" x14ac:dyDescent="0.3">
      <c r="A780" s="46"/>
    </row>
    <row r="781" spans="1:1" ht="14.4" x14ac:dyDescent="0.3">
      <c r="A781" s="46"/>
    </row>
    <row r="782" spans="1:1" ht="14.4" x14ac:dyDescent="0.3">
      <c r="A782" s="46"/>
    </row>
    <row r="783" spans="1:1" ht="14.4" x14ac:dyDescent="0.3">
      <c r="A783" s="46"/>
    </row>
    <row r="784" spans="1:1" ht="14.4" x14ac:dyDescent="0.3">
      <c r="A784" s="46"/>
    </row>
    <row r="785" spans="1:1" ht="14.4" x14ac:dyDescent="0.3">
      <c r="A785" s="46"/>
    </row>
    <row r="786" spans="1:1" ht="14.4" x14ac:dyDescent="0.3">
      <c r="A786" s="46"/>
    </row>
    <row r="787" spans="1:1" ht="14.4" x14ac:dyDescent="0.3">
      <c r="A787" s="46"/>
    </row>
    <row r="788" spans="1:1" ht="14.4" x14ac:dyDescent="0.3">
      <c r="A788" s="46"/>
    </row>
    <row r="789" spans="1:1" ht="14.4" x14ac:dyDescent="0.3">
      <c r="A789" s="46"/>
    </row>
    <row r="790" spans="1:1" ht="14.4" x14ac:dyDescent="0.3">
      <c r="A790" s="46"/>
    </row>
    <row r="791" spans="1:1" ht="14.4" x14ac:dyDescent="0.3">
      <c r="A791" s="46"/>
    </row>
    <row r="792" spans="1:1" ht="14.4" x14ac:dyDescent="0.3">
      <c r="A792" s="46"/>
    </row>
    <row r="793" spans="1:1" ht="14.4" x14ac:dyDescent="0.3">
      <c r="A793" s="46"/>
    </row>
    <row r="794" spans="1:1" ht="14.4" x14ac:dyDescent="0.3">
      <c r="A794" s="46"/>
    </row>
    <row r="795" spans="1:1" ht="14.4" x14ac:dyDescent="0.3">
      <c r="A795" s="46"/>
    </row>
    <row r="796" spans="1:1" ht="14.4" x14ac:dyDescent="0.3">
      <c r="A796" s="46"/>
    </row>
    <row r="797" spans="1:1" ht="14.4" x14ac:dyDescent="0.3">
      <c r="A797" s="46"/>
    </row>
    <row r="798" spans="1:1" ht="14.4" x14ac:dyDescent="0.3">
      <c r="A798" s="46"/>
    </row>
    <row r="799" spans="1:1" ht="14.4" x14ac:dyDescent="0.3">
      <c r="A799" s="46"/>
    </row>
    <row r="800" spans="1:1" ht="14.4" x14ac:dyDescent="0.3">
      <c r="A800" s="46"/>
    </row>
    <row r="801" spans="1:1" ht="14.4" x14ac:dyDescent="0.3">
      <c r="A801" s="46"/>
    </row>
    <row r="802" spans="1:1" ht="14.4" x14ac:dyDescent="0.3">
      <c r="A802" s="46"/>
    </row>
    <row r="803" spans="1:1" ht="14.4" x14ac:dyDescent="0.3">
      <c r="A803" s="46"/>
    </row>
    <row r="804" spans="1:1" ht="14.4" x14ac:dyDescent="0.3">
      <c r="A804" s="46"/>
    </row>
    <row r="805" spans="1:1" ht="14.4" x14ac:dyDescent="0.3">
      <c r="A805" s="46"/>
    </row>
    <row r="806" spans="1:1" ht="14.4" x14ac:dyDescent="0.3">
      <c r="A806" s="46"/>
    </row>
    <row r="807" spans="1:1" ht="14.4" x14ac:dyDescent="0.3">
      <c r="A807" s="46"/>
    </row>
    <row r="808" spans="1:1" ht="14.4" x14ac:dyDescent="0.3">
      <c r="A808" s="46"/>
    </row>
    <row r="809" spans="1:1" ht="14.4" x14ac:dyDescent="0.3">
      <c r="A809" s="46"/>
    </row>
    <row r="810" spans="1:1" ht="14.4" x14ac:dyDescent="0.3">
      <c r="A810" s="46"/>
    </row>
    <row r="811" spans="1:1" ht="14.4" x14ac:dyDescent="0.3">
      <c r="A811" s="46"/>
    </row>
    <row r="812" spans="1:1" ht="14.4" x14ac:dyDescent="0.3">
      <c r="A812" s="46"/>
    </row>
    <row r="813" spans="1:1" ht="14.4" x14ac:dyDescent="0.3">
      <c r="A813" s="46"/>
    </row>
    <row r="814" spans="1:1" ht="14.4" x14ac:dyDescent="0.3">
      <c r="A814" s="46"/>
    </row>
    <row r="815" spans="1:1" ht="14.4" x14ac:dyDescent="0.3">
      <c r="A815" s="46"/>
    </row>
    <row r="816" spans="1:1" ht="14.4" x14ac:dyDescent="0.3">
      <c r="A816" s="46"/>
    </row>
    <row r="817" spans="1:1" ht="14.4" x14ac:dyDescent="0.3">
      <c r="A817" s="46"/>
    </row>
    <row r="818" spans="1:1" ht="14.4" x14ac:dyDescent="0.3">
      <c r="A818" s="46"/>
    </row>
    <row r="819" spans="1:1" ht="14.4" x14ac:dyDescent="0.3">
      <c r="A819" s="46"/>
    </row>
    <row r="820" spans="1:1" ht="14.4" x14ac:dyDescent="0.3">
      <c r="A820" s="46"/>
    </row>
    <row r="821" spans="1:1" ht="14.4" x14ac:dyDescent="0.3">
      <c r="A821" s="46"/>
    </row>
    <row r="822" spans="1:1" ht="14.4" x14ac:dyDescent="0.3">
      <c r="A822" s="46"/>
    </row>
    <row r="823" spans="1:1" ht="14.4" x14ac:dyDescent="0.3">
      <c r="A823" s="46"/>
    </row>
    <row r="824" spans="1:1" ht="14.4" x14ac:dyDescent="0.3">
      <c r="A824" s="46"/>
    </row>
    <row r="825" spans="1:1" ht="14.4" x14ac:dyDescent="0.3">
      <c r="A825" s="46"/>
    </row>
    <row r="826" spans="1:1" ht="14.4" x14ac:dyDescent="0.3">
      <c r="A826" s="46"/>
    </row>
    <row r="827" spans="1:1" ht="14.4" x14ac:dyDescent="0.3">
      <c r="A827" s="46"/>
    </row>
    <row r="828" spans="1:1" ht="14.4" x14ac:dyDescent="0.3">
      <c r="A828" s="46"/>
    </row>
    <row r="829" spans="1:1" ht="14.4" x14ac:dyDescent="0.3">
      <c r="A829" s="46"/>
    </row>
    <row r="830" spans="1:1" ht="14.4" x14ac:dyDescent="0.3">
      <c r="A830" s="46"/>
    </row>
    <row r="831" spans="1:1" ht="14.4" x14ac:dyDescent="0.3">
      <c r="A831" s="46"/>
    </row>
    <row r="832" spans="1:1" ht="14.4" x14ac:dyDescent="0.3">
      <c r="A832" s="46"/>
    </row>
    <row r="833" spans="1:1" ht="14.4" x14ac:dyDescent="0.3">
      <c r="A833" s="46"/>
    </row>
    <row r="834" spans="1:1" ht="14.4" x14ac:dyDescent="0.3">
      <c r="A834" s="46"/>
    </row>
    <row r="835" spans="1:1" ht="14.4" x14ac:dyDescent="0.3">
      <c r="A835" s="46"/>
    </row>
    <row r="836" spans="1:1" ht="14.4" x14ac:dyDescent="0.3">
      <c r="A836" s="46"/>
    </row>
    <row r="837" spans="1:1" ht="14.4" x14ac:dyDescent="0.3">
      <c r="A837" s="46"/>
    </row>
    <row r="838" spans="1:1" ht="14.4" x14ac:dyDescent="0.3">
      <c r="A838" s="46"/>
    </row>
    <row r="839" spans="1:1" ht="14.4" x14ac:dyDescent="0.3">
      <c r="A839" s="46"/>
    </row>
    <row r="840" spans="1:1" ht="14.4" x14ac:dyDescent="0.3">
      <c r="A840" s="46"/>
    </row>
    <row r="841" spans="1:1" ht="14.4" x14ac:dyDescent="0.3">
      <c r="A841" s="46"/>
    </row>
    <row r="842" spans="1:1" ht="14.4" x14ac:dyDescent="0.3">
      <c r="A842" s="46"/>
    </row>
    <row r="843" spans="1:1" ht="14.4" x14ac:dyDescent="0.3">
      <c r="A843" s="46"/>
    </row>
    <row r="844" spans="1:1" ht="14.4" x14ac:dyDescent="0.3">
      <c r="A844" s="46"/>
    </row>
    <row r="845" spans="1:1" ht="14.4" x14ac:dyDescent="0.3">
      <c r="A845" s="46"/>
    </row>
    <row r="846" spans="1:1" ht="14.4" x14ac:dyDescent="0.3">
      <c r="A846" s="46"/>
    </row>
    <row r="847" spans="1:1" ht="14.4" x14ac:dyDescent="0.3">
      <c r="A847" s="46"/>
    </row>
    <row r="848" spans="1:1" ht="14.4" x14ac:dyDescent="0.3">
      <c r="A848" s="46"/>
    </row>
    <row r="849" spans="1:1" ht="14.4" x14ac:dyDescent="0.3">
      <c r="A849" s="46"/>
    </row>
    <row r="850" spans="1:1" ht="14.4" x14ac:dyDescent="0.3">
      <c r="A850" s="46"/>
    </row>
    <row r="851" spans="1:1" ht="14.4" x14ac:dyDescent="0.3">
      <c r="A851" s="46"/>
    </row>
    <row r="852" spans="1:1" ht="14.4" x14ac:dyDescent="0.3">
      <c r="A852" s="46"/>
    </row>
    <row r="853" spans="1:1" ht="14.4" x14ac:dyDescent="0.3">
      <c r="A853" s="46"/>
    </row>
    <row r="854" spans="1:1" ht="14.4" x14ac:dyDescent="0.3">
      <c r="A854" s="46"/>
    </row>
    <row r="855" spans="1:1" ht="14.4" x14ac:dyDescent="0.3">
      <c r="A855" s="46"/>
    </row>
    <row r="856" spans="1:1" ht="14.4" x14ac:dyDescent="0.3">
      <c r="A856" s="46"/>
    </row>
    <row r="857" spans="1:1" ht="14.4" x14ac:dyDescent="0.3">
      <c r="A857" s="46"/>
    </row>
    <row r="858" spans="1:1" ht="14.4" x14ac:dyDescent="0.3">
      <c r="A858" s="46"/>
    </row>
    <row r="859" spans="1:1" ht="14.4" x14ac:dyDescent="0.3">
      <c r="A859" s="46"/>
    </row>
    <row r="860" spans="1:1" ht="14.4" x14ac:dyDescent="0.3">
      <c r="A860" s="46"/>
    </row>
    <row r="861" spans="1:1" ht="14.4" x14ac:dyDescent="0.3">
      <c r="A861" s="46"/>
    </row>
    <row r="862" spans="1:1" ht="14.4" x14ac:dyDescent="0.3">
      <c r="A862" s="46"/>
    </row>
    <row r="863" spans="1:1" ht="14.4" x14ac:dyDescent="0.3">
      <c r="A863" s="46"/>
    </row>
    <row r="864" spans="1:1" ht="14.4" x14ac:dyDescent="0.3">
      <c r="A864" s="46"/>
    </row>
    <row r="865" spans="1:1" ht="14.4" x14ac:dyDescent="0.3">
      <c r="A865" s="46"/>
    </row>
    <row r="866" spans="1:1" ht="14.4" x14ac:dyDescent="0.3">
      <c r="A866" s="46"/>
    </row>
    <row r="867" spans="1:1" ht="14.4" x14ac:dyDescent="0.3">
      <c r="A867" s="46"/>
    </row>
    <row r="868" spans="1:1" ht="14.4" x14ac:dyDescent="0.3">
      <c r="A868" s="46"/>
    </row>
    <row r="869" spans="1:1" ht="14.4" x14ac:dyDescent="0.3">
      <c r="A869" s="46"/>
    </row>
    <row r="870" spans="1:1" ht="14.4" x14ac:dyDescent="0.3">
      <c r="A870" s="46"/>
    </row>
    <row r="871" spans="1:1" ht="14.4" x14ac:dyDescent="0.3">
      <c r="A871" s="46"/>
    </row>
    <row r="872" spans="1:1" ht="14.4" x14ac:dyDescent="0.3">
      <c r="A872" s="46"/>
    </row>
    <row r="873" spans="1:1" ht="14.4" x14ac:dyDescent="0.3">
      <c r="A873" s="46"/>
    </row>
    <row r="874" spans="1:1" ht="14.4" x14ac:dyDescent="0.3">
      <c r="A874" s="46"/>
    </row>
    <row r="875" spans="1:1" ht="14.4" x14ac:dyDescent="0.3">
      <c r="A875" s="46"/>
    </row>
    <row r="876" spans="1:1" ht="14.4" x14ac:dyDescent="0.3">
      <c r="A876" s="46"/>
    </row>
    <row r="877" spans="1:1" ht="14.4" x14ac:dyDescent="0.3">
      <c r="A877" s="46"/>
    </row>
    <row r="878" spans="1:1" ht="14.4" x14ac:dyDescent="0.3">
      <c r="A878" s="46"/>
    </row>
    <row r="879" spans="1:1" ht="14.4" x14ac:dyDescent="0.3">
      <c r="A879" s="46"/>
    </row>
    <row r="880" spans="1:1" ht="14.4" x14ac:dyDescent="0.3">
      <c r="A880" s="46"/>
    </row>
    <row r="881" spans="1:1" ht="14.4" x14ac:dyDescent="0.3">
      <c r="A881" s="46"/>
    </row>
    <row r="882" spans="1:1" ht="14.4" x14ac:dyDescent="0.3">
      <c r="A882" s="46"/>
    </row>
    <row r="883" spans="1:1" ht="14.4" x14ac:dyDescent="0.3">
      <c r="A883" s="46"/>
    </row>
    <row r="884" spans="1:1" ht="14.4" x14ac:dyDescent="0.3">
      <c r="A884" s="46"/>
    </row>
    <row r="885" spans="1:1" ht="14.4" x14ac:dyDescent="0.3">
      <c r="A885" s="46"/>
    </row>
    <row r="886" spans="1:1" ht="14.4" x14ac:dyDescent="0.3">
      <c r="A886" s="46"/>
    </row>
    <row r="887" spans="1:1" ht="14.4" x14ac:dyDescent="0.3">
      <c r="A887" s="46"/>
    </row>
    <row r="888" spans="1:1" ht="14.4" x14ac:dyDescent="0.3">
      <c r="A888" s="46"/>
    </row>
    <row r="889" spans="1:1" ht="14.4" x14ac:dyDescent="0.3">
      <c r="A889" s="46"/>
    </row>
    <row r="890" spans="1:1" ht="14.4" x14ac:dyDescent="0.3">
      <c r="A890" s="46"/>
    </row>
    <row r="891" spans="1:1" ht="14.4" x14ac:dyDescent="0.3">
      <c r="A891" s="46"/>
    </row>
    <row r="892" spans="1:1" ht="14.4" x14ac:dyDescent="0.3">
      <c r="A892" s="46"/>
    </row>
    <row r="893" spans="1:1" ht="14.4" x14ac:dyDescent="0.3">
      <c r="A893" s="46"/>
    </row>
    <row r="894" spans="1:1" ht="14.4" x14ac:dyDescent="0.3">
      <c r="A894" s="46"/>
    </row>
    <row r="895" spans="1:1" ht="14.4" x14ac:dyDescent="0.3">
      <c r="A895" s="46"/>
    </row>
    <row r="896" spans="1:1" ht="14.4" x14ac:dyDescent="0.3">
      <c r="A896" s="46"/>
    </row>
    <row r="897" spans="1:1" ht="14.4" x14ac:dyDescent="0.3">
      <c r="A897" s="46"/>
    </row>
    <row r="898" spans="1:1" ht="14.4" x14ac:dyDescent="0.3">
      <c r="A898" s="46"/>
    </row>
    <row r="899" spans="1:1" ht="14.4" x14ac:dyDescent="0.3">
      <c r="A899" s="46"/>
    </row>
    <row r="900" spans="1:1" ht="14.4" x14ac:dyDescent="0.3">
      <c r="A900" s="46"/>
    </row>
    <row r="901" spans="1:1" ht="14.4" x14ac:dyDescent="0.3">
      <c r="A901" s="46"/>
    </row>
    <row r="902" spans="1:1" ht="14.4" x14ac:dyDescent="0.3">
      <c r="A902" s="46"/>
    </row>
    <row r="903" spans="1:1" ht="14.4" x14ac:dyDescent="0.3">
      <c r="A903" s="46"/>
    </row>
    <row r="904" spans="1:1" ht="14.4" x14ac:dyDescent="0.3">
      <c r="A904" s="46"/>
    </row>
    <row r="905" spans="1:1" ht="14.4" x14ac:dyDescent="0.3">
      <c r="A905" s="46"/>
    </row>
    <row r="906" spans="1:1" ht="14.4" x14ac:dyDescent="0.3">
      <c r="A906" s="46"/>
    </row>
    <row r="907" spans="1:1" ht="14.4" x14ac:dyDescent="0.3">
      <c r="A907" s="46"/>
    </row>
    <row r="908" spans="1:1" ht="14.4" x14ac:dyDescent="0.3">
      <c r="A908" s="46"/>
    </row>
    <row r="909" spans="1:1" ht="14.4" x14ac:dyDescent="0.3">
      <c r="A909" s="46"/>
    </row>
    <row r="910" spans="1:1" ht="14.4" x14ac:dyDescent="0.3">
      <c r="A910" s="46"/>
    </row>
    <row r="911" spans="1:1" ht="14.4" x14ac:dyDescent="0.3">
      <c r="A911" s="46"/>
    </row>
    <row r="912" spans="1:1" ht="14.4" x14ac:dyDescent="0.3">
      <c r="A912" s="46"/>
    </row>
    <row r="913" spans="1:1" ht="14.4" x14ac:dyDescent="0.3">
      <c r="A913" s="46"/>
    </row>
    <row r="914" spans="1:1" ht="14.4" x14ac:dyDescent="0.3">
      <c r="A914" s="46"/>
    </row>
    <row r="915" spans="1:1" ht="14.4" x14ac:dyDescent="0.3">
      <c r="A915" s="46"/>
    </row>
    <row r="916" spans="1:1" ht="14.4" x14ac:dyDescent="0.3">
      <c r="A916" s="46"/>
    </row>
    <row r="917" spans="1:1" ht="14.4" x14ac:dyDescent="0.3">
      <c r="A917" s="46"/>
    </row>
    <row r="918" spans="1:1" ht="14.4" x14ac:dyDescent="0.3">
      <c r="A918" s="46"/>
    </row>
    <row r="919" spans="1:1" ht="14.4" x14ac:dyDescent="0.3">
      <c r="A919" s="46"/>
    </row>
    <row r="920" spans="1:1" ht="14.4" x14ac:dyDescent="0.3">
      <c r="A920" s="46"/>
    </row>
    <row r="921" spans="1:1" ht="14.4" x14ac:dyDescent="0.3">
      <c r="A921" s="46"/>
    </row>
    <row r="922" spans="1:1" ht="14.4" x14ac:dyDescent="0.3">
      <c r="A922" s="46"/>
    </row>
    <row r="923" spans="1:1" ht="14.4" x14ac:dyDescent="0.3">
      <c r="A923" s="46"/>
    </row>
    <row r="924" spans="1:1" ht="14.4" x14ac:dyDescent="0.3">
      <c r="A924" s="46"/>
    </row>
    <row r="925" spans="1:1" ht="14.4" x14ac:dyDescent="0.3">
      <c r="A925" s="46"/>
    </row>
    <row r="926" spans="1:1" ht="14.4" x14ac:dyDescent="0.3">
      <c r="A926" s="46"/>
    </row>
    <row r="927" spans="1:1" ht="14.4" x14ac:dyDescent="0.3">
      <c r="A927" s="46"/>
    </row>
    <row r="928" spans="1:1" ht="14.4" x14ac:dyDescent="0.3">
      <c r="A928" s="46"/>
    </row>
    <row r="929" spans="1:1" ht="14.4" x14ac:dyDescent="0.3">
      <c r="A929" s="46"/>
    </row>
    <row r="930" spans="1:1" ht="14.4" x14ac:dyDescent="0.3">
      <c r="A930" s="46"/>
    </row>
    <row r="931" spans="1:1" ht="14.4" x14ac:dyDescent="0.3">
      <c r="A931" s="46"/>
    </row>
    <row r="932" spans="1:1" ht="14.4" x14ac:dyDescent="0.3">
      <c r="A932" s="46"/>
    </row>
    <row r="933" spans="1:1" ht="14.4" x14ac:dyDescent="0.3">
      <c r="A933" s="46"/>
    </row>
    <row r="934" spans="1:1" ht="14.4" x14ac:dyDescent="0.3">
      <c r="A934" s="46"/>
    </row>
    <row r="935" spans="1:1" ht="14.4" x14ac:dyDescent="0.3">
      <c r="A935" s="46"/>
    </row>
    <row r="936" spans="1:1" ht="14.4" x14ac:dyDescent="0.3">
      <c r="A936" s="46"/>
    </row>
    <row r="937" spans="1:1" ht="14.4" x14ac:dyDescent="0.3">
      <c r="A937" s="46"/>
    </row>
    <row r="938" spans="1:1" ht="14.4" x14ac:dyDescent="0.3">
      <c r="A938" s="46"/>
    </row>
    <row r="939" spans="1:1" ht="14.4" x14ac:dyDescent="0.3">
      <c r="A939" s="46"/>
    </row>
    <row r="940" spans="1:1" ht="14.4" x14ac:dyDescent="0.3">
      <c r="A940" s="46"/>
    </row>
    <row r="941" spans="1:1" ht="14.4" x14ac:dyDescent="0.3">
      <c r="A941" s="46"/>
    </row>
    <row r="942" spans="1:1" ht="14.4" x14ac:dyDescent="0.3">
      <c r="A942" s="46"/>
    </row>
    <row r="943" spans="1:1" ht="14.4" x14ac:dyDescent="0.3">
      <c r="A943" s="46"/>
    </row>
    <row r="944" spans="1:1" ht="14.4" x14ac:dyDescent="0.3">
      <c r="A944" s="46"/>
    </row>
    <row r="945" spans="1:1" ht="14.4" x14ac:dyDescent="0.3">
      <c r="A945" s="46"/>
    </row>
    <row r="946" spans="1:1" ht="14.4" x14ac:dyDescent="0.3">
      <c r="A946" s="46"/>
    </row>
    <row r="947" spans="1:1" ht="14.4" x14ac:dyDescent="0.3">
      <c r="A947" s="46"/>
    </row>
    <row r="948" spans="1:1" ht="14.4" x14ac:dyDescent="0.3">
      <c r="A948" s="46"/>
    </row>
    <row r="949" spans="1:1" ht="14.4" x14ac:dyDescent="0.3">
      <c r="A949" s="46"/>
    </row>
    <row r="950" spans="1:1" ht="14.4" x14ac:dyDescent="0.3">
      <c r="A950" s="46"/>
    </row>
    <row r="951" spans="1:1" ht="14.4" x14ac:dyDescent="0.3">
      <c r="A951" s="46"/>
    </row>
    <row r="952" spans="1:1" ht="14.4" x14ac:dyDescent="0.3">
      <c r="A952" s="46"/>
    </row>
    <row r="953" spans="1:1" ht="14.4" x14ac:dyDescent="0.3">
      <c r="A953" s="46"/>
    </row>
    <row r="954" spans="1:1" ht="14.4" x14ac:dyDescent="0.3">
      <c r="A954" s="46"/>
    </row>
    <row r="955" spans="1:1" ht="14.4" x14ac:dyDescent="0.3">
      <c r="A955" s="46"/>
    </row>
    <row r="956" spans="1:1" ht="14.4" x14ac:dyDescent="0.3">
      <c r="A956" s="46"/>
    </row>
    <row r="957" spans="1:1" ht="14.4" x14ac:dyDescent="0.3">
      <c r="A957" s="46"/>
    </row>
    <row r="958" spans="1:1" ht="14.4" x14ac:dyDescent="0.3">
      <c r="A958" s="46"/>
    </row>
    <row r="959" spans="1:1" ht="14.4" x14ac:dyDescent="0.3">
      <c r="A959" s="46"/>
    </row>
    <row r="960" spans="1:1" ht="14.4" x14ac:dyDescent="0.3">
      <c r="A960" s="46"/>
    </row>
    <row r="961" spans="1:1" ht="14.4" x14ac:dyDescent="0.3">
      <c r="A961" s="46"/>
    </row>
    <row r="962" spans="1:1" ht="14.4" x14ac:dyDescent="0.3">
      <c r="A962" s="46"/>
    </row>
    <row r="963" spans="1:1" ht="14.4" x14ac:dyDescent="0.3">
      <c r="A963" s="46"/>
    </row>
    <row r="964" spans="1:1" ht="14.4" x14ac:dyDescent="0.3">
      <c r="A964" s="46"/>
    </row>
    <row r="965" spans="1:1" ht="14.4" x14ac:dyDescent="0.3">
      <c r="A965" s="46"/>
    </row>
    <row r="966" spans="1:1" ht="14.4" x14ac:dyDescent="0.3">
      <c r="A966" s="46"/>
    </row>
    <row r="967" spans="1:1" ht="14.4" x14ac:dyDescent="0.3">
      <c r="A967" s="46"/>
    </row>
    <row r="968" spans="1:1" ht="14.4" x14ac:dyDescent="0.3">
      <c r="A968" s="46"/>
    </row>
    <row r="969" spans="1:1" ht="14.4" x14ac:dyDescent="0.3">
      <c r="A969" s="46"/>
    </row>
    <row r="970" spans="1:1" ht="14.4" x14ac:dyDescent="0.3">
      <c r="A970" s="46"/>
    </row>
    <row r="971" spans="1:1" ht="14.4" x14ac:dyDescent="0.3">
      <c r="A971" s="46"/>
    </row>
    <row r="972" spans="1:1" ht="14.4" x14ac:dyDescent="0.3">
      <c r="A972" s="46"/>
    </row>
    <row r="973" spans="1:1" ht="14.4" x14ac:dyDescent="0.3">
      <c r="A973" s="46"/>
    </row>
    <row r="974" spans="1:1" ht="14.4" x14ac:dyDescent="0.3">
      <c r="A974" s="46"/>
    </row>
    <row r="975" spans="1:1" ht="14.4" x14ac:dyDescent="0.3">
      <c r="A975" s="46"/>
    </row>
    <row r="976" spans="1:1" ht="14.4" x14ac:dyDescent="0.3">
      <c r="A976" s="46"/>
    </row>
    <row r="977" spans="1:1" ht="14.4" x14ac:dyDescent="0.3">
      <c r="A977" s="46"/>
    </row>
    <row r="978" spans="1:1" ht="14.4" x14ac:dyDescent="0.3">
      <c r="A978" s="46"/>
    </row>
    <row r="979" spans="1:1" ht="14.4" x14ac:dyDescent="0.3">
      <c r="A979" s="46"/>
    </row>
    <row r="980" spans="1:1" ht="14.4" x14ac:dyDescent="0.3">
      <c r="A980" s="46"/>
    </row>
    <row r="981" spans="1:1" ht="14.4" x14ac:dyDescent="0.3">
      <c r="A981" s="46"/>
    </row>
    <row r="982" spans="1:1" ht="14.4" x14ac:dyDescent="0.3">
      <c r="A982" s="46"/>
    </row>
    <row r="983" spans="1:1" ht="14.4" x14ac:dyDescent="0.3">
      <c r="A983" s="46"/>
    </row>
    <row r="984" spans="1:1" ht="14.4" x14ac:dyDescent="0.3">
      <c r="A984" s="46"/>
    </row>
    <row r="985" spans="1:1" ht="14.4" x14ac:dyDescent="0.3">
      <c r="A985" s="46"/>
    </row>
    <row r="986" spans="1:1" ht="14.4" x14ac:dyDescent="0.3">
      <c r="A986" s="46"/>
    </row>
    <row r="987" spans="1:1" ht="14.4" x14ac:dyDescent="0.3">
      <c r="A987" s="46"/>
    </row>
    <row r="988" spans="1:1" ht="14.4" x14ac:dyDescent="0.3">
      <c r="A988" s="46"/>
    </row>
    <row r="989" spans="1:1" ht="14.4" x14ac:dyDescent="0.3">
      <c r="A989" s="46"/>
    </row>
    <row r="990" spans="1:1" ht="14.4" x14ac:dyDescent="0.3">
      <c r="A990" s="46"/>
    </row>
    <row r="991" spans="1:1" ht="14.4" x14ac:dyDescent="0.3">
      <c r="A991" s="46"/>
    </row>
    <row r="992" spans="1:1" ht="14.4" x14ac:dyDescent="0.3">
      <c r="A992" s="46"/>
    </row>
    <row r="993" spans="1:1" ht="14.4" x14ac:dyDescent="0.3">
      <c r="A993" s="46"/>
    </row>
    <row r="994" spans="1:1" ht="14.4" x14ac:dyDescent="0.3">
      <c r="A994" s="46"/>
    </row>
    <row r="995" spans="1:1" ht="14.4" x14ac:dyDescent="0.3">
      <c r="A995" s="46"/>
    </row>
    <row r="996" spans="1:1" ht="14.4" x14ac:dyDescent="0.3">
      <c r="A996" s="46"/>
    </row>
    <row r="997" spans="1:1" ht="14.4" x14ac:dyDescent="0.3">
      <c r="A997" s="46"/>
    </row>
    <row r="998" spans="1:1" ht="14.4" x14ac:dyDescent="0.3">
      <c r="A998" s="4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3227E-3A73-4B17-ACAA-495F4DBE78CD}">
  <dimension ref="A1:M44"/>
  <sheetViews>
    <sheetView showGridLines="0" topLeftCell="A24" workbookViewId="0">
      <selection activeCell="C45" sqref="C45"/>
    </sheetView>
  </sheetViews>
  <sheetFormatPr defaultRowHeight="13.8" x14ac:dyDescent="0.3"/>
  <cols>
    <col min="1" max="1" width="22.5546875" style="1" customWidth="1"/>
    <col min="2" max="2" width="21" style="1" customWidth="1"/>
    <col min="3" max="3" width="18.44140625" style="1" customWidth="1"/>
    <col min="4" max="4" width="11.44140625" style="1" customWidth="1"/>
    <col min="5" max="5" width="14.5546875" style="1" customWidth="1"/>
    <col min="6" max="6" width="12" style="1" customWidth="1"/>
    <col min="7" max="7" width="13.33203125" style="1" customWidth="1"/>
    <col min="8" max="9" width="9.44140625" style="1" bestFit="1" customWidth="1"/>
    <col min="10" max="11" width="8.88671875" style="1"/>
    <col min="12" max="12" width="11.77734375" style="1" bestFit="1" customWidth="1"/>
    <col min="13" max="16384" width="8.88671875" style="1"/>
  </cols>
  <sheetData>
    <row r="1" spans="1:13" ht="14.4" customHeight="1" x14ac:dyDescent="0.45">
      <c r="A1" s="26"/>
    </row>
    <row r="2" spans="1:13" ht="16.2" customHeight="1" x14ac:dyDescent="0.3">
      <c r="A2" s="104" t="s">
        <v>105</v>
      </c>
      <c r="B2" s="108">
        <f>Model!B223</f>
        <v>0.02</v>
      </c>
      <c r="D2" s="25" t="s">
        <v>210</v>
      </c>
      <c r="K2" s="113" t="s">
        <v>171</v>
      </c>
      <c r="L2" s="113" t="s">
        <v>203</v>
      </c>
      <c r="M2" s="113" t="s">
        <v>153</v>
      </c>
    </row>
    <row r="3" spans="1:13" ht="14.4" x14ac:dyDescent="0.3">
      <c r="A3" s="104" t="s">
        <v>106</v>
      </c>
      <c r="B3" s="108">
        <f>Model!B224</f>
        <v>3.5000000000000003E-2</v>
      </c>
      <c r="D3" s="112">
        <f>L21</f>
        <v>105441.50149283865</v>
      </c>
      <c r="E3" s="123">
        <v>1.4999999999999999E-2</v>
      </c>
      <c r="F3" s="123">
        <f>E3+0.005</f>
        <v>0.02</v>
      </c>
      <c r="G3" s="123">
        <f t="shared" ref="G3:I3" si="0">F3+0.005</f>
        <v>2.5000000000000001E-2</v>
      </c>
      <c r="H3" s="123">
        <f t="shared" si="0"/>
        <v>3.0000000000000002E-2</v>
      </c>
      <c r="I3" s="123">
        <f t="shared" si="0"/>
        <v>3.5000000000000003E-2</v>
      </c>
      <c r="J3" s="1">
        <v>0</v>
      </c>
      <c r="K3" s="29" cm="1">
        <f t="array" ref="K3">INDEX(Model!$K$217:$V$217,,COLUMN(Model!A215)+Excutesummary!J3)</f>
        <v>2171.778441327423</v>
      </c>
      <c r="L3" s="29">
        <f>-PV($B$4,M3,,K3)</f>
        <v>1939.0878940423418</v>
      </c>
      <c r="M3" s="101">
        <v>1</v>
      </c>
    </row>
    <row r="4" spans="1:13" ht="14.4" x14ac:dyDescent="0.3">
      <c r="A4" s="104" t="s">
        <v>107</v>
      </c>
      <c r="B4" s="108">
        <f>Model!B225</f>
        <v>0.12</v>
      </c>
      <c r="C4" s="125" t="s">
        <v>209</v>
      </c>
      <c r="D4" s="122">
        <f>D5-0.005</f>
        <v>0.10499999999999998</v>
      </c>
      <c r="E4" s="110">
        <f t="dataTable" ref="E4:I9" dt2D="1" dtr="1" r1="B2" r2="B4"/>
        <v>125552.73275152223</v>
      </c>
      <c r="F4" s="119">
        <v>129663.36524571579</v>
      </c>
      <c r="G4" s="120">
        <v>134287.82680168352</v>
      </c>
      <c r="H4" s="120">
        <v>139528.88323178029</v>
      </c>
      <c r="I4" s="120">
        <v>145518.66200903375</v>
      </c>
      <c r="J4" s="1">
        <v>1</v>
      </c>
      <c r="K4" s="29" cm="1">
        <f t="array" ref="K4">INDEX(Model!$K$217:$V$217,,COLUMN(Model!A216)+Excutesummary!J4)</f>
        <v>3658.4951957531252</v>
      </c>
      <c r="L4" s="29">
        <f t="shared" ref="L4:L14" si="1">-PV($B$4,M4,,K4)</f>
        <v>2916.529971104213</v>
      </c>
      <c r="M4" s="101">
        <v>2</v>
      </c>
    </row>
    <row r="5" spans="1:13" ht="14.4" x14ac:dyDescent="0.3">
      <c r="A5" s="104" t="s">
        <v>108</v>
      </c>
      <c r="B5" s="108">
        <f>Model!B226</f>
        <v>7.0000000000000007E-2</v>
      </c>
      <c r="D5" s="123">
        <f>D6-0.005</f>
        <v>0.10999999999999999</v>
      </c>
      <c r="E5" s="29">
        <v>117121.43753113838</v>
      </c>
      <c r="F5" s="121">
        <v>120621.18141293859</v>
      </c>
      <c r="G5" s="120">
        <v>124532.65986906824</v>
      </c>
      <c r="H5" s="29">
        <v>128933.07313221411</v>
      </c>
      <c r="I5" s="29">
        <v>133920.2081637794</v>
      </c>
      <c r="J5" s="117">
        <v>2</v>
      </c>
      <c r="K5" s="29" cm="1">
        <f t="array" ref="K5">INDEX(Model!$K$217:$V$217,,COLUMN(Model!A217)+Excutesummary!J5)</f>
        <v>4537.2867300862263</v>
      </c>
      <c r="L5" s="29">
        <f t="shared" si="1"/>
        <v>3229.5510731412746</v>
      </c>
      <c r="M5" s="101">
        <v>3</v>
      </c>
    </row>
    <row r="6" spans="1:13" ht="14.4" x14ac:dyDescent="0.3">
      <c r="A6" s="104" t="s">
        <v>109</v>
      </c>
      <c r="B6" s="109">
        <f>Model!B227</f>
        <v>4.9999999999999989E-2</v>
      </c>
      <c r="D6" s="123">
        <f>D7-0.005</f>
        <v>0.11499999999999999</v>
      </c>
      <c r="E6" s="29">
        <v>109601.29647303103</v>
      </c>
      <c r="F6" s="29">
        <v>112599.1333514467</v>
      </c>
      <c r="G6" s="120">
        <v>115930.06321635301</v>
      </c>
      <c r="H6" s="29">
        <v>119652.867183013</v>
      </c>
      <c r="I6" s="29">
        <v>123841.02164550549</v>
      </c>
      <c r="J6" s="30">
        <v>3</v>
      </c>
      <c r="K6" s="29" cm="1">
        <f t="array" ref="K6">INDEX(Model!$K$217:$V$217,,COLUMN(Model!A218)+Excutesummary!J6)</f>
        <v>5644.3309021366413</v>
      </c>
      <c r="L6" s="29">
        <f t="shared" si="1"/>
        <v>3587.0743288068857</v>
      </c>
      <c r="M6" s="101">
        <v>4</v>
      </c>
    </row>
    <row r="7" spans="1:13" ht="14.4" x14ac:dyDescent="0.3">
      <c r="A7" s="104" t="s">
        <v>110</v>
      </c>
      <c r="B7" s="110">
        <f>Model!B228</f>
        <v>1</v>
      </c>
      <c r="D7" s="123">
        <v>0.12</v>
      </c>
      <c r="E7" s="29">
        <v>102859.43396558177</v>
      </c>
      <c r="F7" s="112">
        <v>105441.50149283865</v>
      </c>
      <c r="G7" s="120">
        <v>108295.36560191207</v>
      </c>
      <c r="H7" s="29">
        <v>111466.32572310475</v>
      </c>
      <c r="I7" s="29">
        <v>115010.33997620242</v>
      </c>
      <c r="J7" s="30">
        <v>4</v>
      </c>
      <c r="K7" s="29" cm="1">
        <f t="array" ref="K7">INDEX(Model!$K$217:$V$217,,COLUMN(Model!A219)+Excutesummary!J7)</f>
        <v>7010.2274441886511</v>
      </c>
      <c r="L7" s="29">
        <f t="shared" si="1"/>
        <v>3977.7913165281984</v>
      </c>
      <c r="M7" s="101">
        <v>5</v>
      </c>
    </row>
    <row r="8" spans="1:13" ht="14.4" x14ac:dyDescent="0.3">
      <c r="A8" s="104" t="s">
        <v>203</v>
      </c>
      <c r="B8" s="29">
        <f>Model!B229</f>
        <v>100274.54149283865</v>
      </c>
      <c r="D8" s="123">
        <f>D7+0.005</f>
        <v>0.125</v>
      </c>
      <c r="E8" s="29">
        <v>96787.258347427458</v>
      </c>
      <c r="F8" s="29">
        <v>99022.350394336085</v>
      </c>
      <c r="G8" s="120">
        <v>101480.95164593554</v>
      </c>
      <c r="H8" s="29">
        <v>104198.35302928231</v>
      </c>
      <c r="I8" s="29">
        <v>107217.68789966762</v>
      </c>
      <c r="J8" s="30">
        <v>5</v>
      </c>
      <c r="K8" s="29" cm="1">
        <f t="array" ref="K8">INDEX(Model!$K$217:$V$217,,COLUMN(Model!A220)+Excutesummary!J8)</f>
        <v>8825.938293638721</v>
      </c>
      <c r="L8" s="29">
        <f t="shared" si="1"/>
        <v>4471.4950131480336</v>
      </c>
      <c r="M8" s="101">
        <v>6</v>
      </c>
    </row>
    <row r="9" spans="1:13" ht="14.4" x14ac:dyDescent="0.3">
      <c r="A9" s="104" t="s">
        <v>111</v>
      </c>
      <c r="B9" s="29">
        <f>Model!B230</f>
        <v>5166.9600000000009</v>
      </c>
      <c r="D9" s="123">
        <f>D8+0.005</f>
        <v>0.13</v>
      </c>
      <c r="E9" s="29">
        <v>91295.176354431169</v>
      </c>
      <c r="F9" s="29">
        <v>93238.753307387742</v>
      </c>
      <c r="G9" s="120">
        <v>95367.432827292534</v>
      </c>
      <c r="H9" s="29">
        <v>97708.980299187839</v>
      </c>
      <c r="I9" s="29">
        <v>100297.00645233525</v>
      </c>
      <c r="J9" s="30">
        <v>6</v>
      </c>
      <c r="K9" s="29" cm="1">
        <f t="array" ref="K9">INDEX(Model!$K$217:$V$217,,COLUMN(Model!A221)+Excutesummary!J9)</f>
        <v>10803.026456190259</v>
      </c>
      <c r="L9" s="29">
        <f t="shared" si="1"/>
        <v>4886.7405407213646</v>
      </c>
      <c r="M9" s="101">
        <v>7</v>
      </c>
    </row>
    <row r="10" spans="1:13" ht="14.4" x14ac:dyDescent="0.3">
      <c r="A10" s="111" t="s">
        <v>152</v>
      </c>
      <c r="B10" s="112">
        <f>Model!B231</f>
        <v>105441.50149283865</v>
      </c>
      <c r="G10" s="116"/>
      <c r="H10" s="30"/>
      <c r="I10" s="30"/>
      <c r="J10" s="30">
        <v>7</v>
      </c>
      <c r="K10" s="29" cm="1">
        <f t="array" ref="K10">INDEX(Model!$K$217:$V$217,,COLUMN(Model!A222)+Excutesummary!J10)</f>
        <v>12844.893910465671</v>
      </c>
      <c r="L10" s="29">
        <f t="shared" si="1"/>
        <v>5187.8372156114165</v>
      </c>
      <c r="M10" s="101">
        <v>8</v>
      </c>
    </row>
    <row r="11" spans="1:13" ht="14.4" x14ac:dyDescent="0.3">
      <c r="A11" s="104" t="s">
        <v>112</v>
      </c>
      <c r="B11" s="101">
        <f>Model!B232</f>
        <v>20</v>
      </c>
      <c r="J11" s="30">
        <v>8</v>
      </c>
      <c r="K11" s="29" cm="1">
        <f t="array" ref="K11">INDEX(Model!$K$217:$V$217,,COLUMN(Model!A223)+Excutesummary!J11)</f>
        <v>14823.121068392738</v>
      </c>
      <c r="L11" s="29">
        <f t="shared" si="1"/>
        <v>5345.3660587780832</v>
      </c>
      <c r="M11" s="101">
        <v>9</v>
      </c>
    </row>
    <row r="12" spans="1:13" ht="14.4" x14ac:dyDescent="0.3">
      <c r="A12" s="104" t="s">
        <v>113</v>
      </c>
      <c r="B12" s="29">
        <f>Model!B233</f>
        <v>5272.0750746419326</v>
      </c>
      <c r="J12" s="1">
        <v>9</v>
      </c>
      <c r="K12" s="29" cm="1">
        <f t="array" ref="K12">INDEX(Model!$K$217:$V$217,,COLUMN(Model!A224)+Excutesummary!J12)</f>
        <v>16587.203450589826</v>
      </c>
      <c r="L12" s="29">
        <f t="shared" si="1"/>
        <v>5340.6355809747674</v>
      </c>
      <c r="M12" s="101">
        <v>10</v>
      </c>
    </row>
    <row r="13" spans="1:13" ht="14.4" x14ac:dyDescent="0.3">
      <c r="A13" s="111" t="s">
        <v>114</v>
      </c>
      <c r="B13" s="112">
        <f>Model!B234</f>
        <v>5418</v>
      </c>
      <c r="J13" s="1">
        <v>10</v>
      </c>
      <c r="K13" s="29" cm="1">
        <f t="array" ref="K13">INDEX(Model!$K$217:$V$217,,COLUMN(Model!A225)+Excutesummary!J13)</f>
        <v>17980.675102686942</v>
      </c>
      <c r="L13" s="29">
        <f t="shared" si="1"/>
        <v>5169.0144275873745</v>
      </c>
      <c r="M13" s="101">
        <v>11</v>
      </c>
    </row>
    <row r="14" spans="1:13" ht="14.4" x14ac:dyDescent="0.3">
      <c r="A14" s="46"/>
      <c r="B14" s="47">
        <f>B13-B12</f>
        <v>145.92492535806741</v>
      </c>
      <c r="C14" s="1" t="s">
        <v>117</v>
      </c>
      <c r="J14" s="1">
        <v>11</v>
      </c>
      <c r="K14" s="29" cm="1">
        <f t="array" ref="K14">INDEX(Model!$K$217:$V$217,,COLUMN(Model!A226)+Excutesummary!J14)</f>
        <v>18861.887057489974</v>
      </c>
      <c r="L14" s="29">
        <f t="shared" si="1"/>
        <v>4841.3766136066688</v>
      </c>
      <c r="M14" s="101">
        <v>12</v>
      </c>
    </row>
    <row r="15" spans="1:13" x14ac:dyDescent="0.3">
      <c r="A15" s="113" t="s">
        <v>201</v>
      </c>
      <c r="B15" s="114" t="str">
        <f>IF(B13&gt;B12,"OverValued","UnderValued")</f>
        <v>OverValued</v>
      </c>
      <c r="C15" s="115">
        <f>B12/B13-1</f>
        <v>-2.6933356470665859E-2</v>
      </c>
      <c r="G15" s="103" t="s">
        <v>167</v>
      </c>
      <c r="H15" s="103" t="s">
        <v>169</v>
      </c>
      <c r="K15" s="30" t="s">
        <v>205</v>
      </c>
      <c r="L15" s="30">
        <f>SUM(L3:L14)</f>
        <v>50892.50003405063</v>
      </c>
    </row>
    <row r="16" spans="1:13" x14ac:dyDescent="0.3">
      <c r="B16" s="31"/>
      <c r="C16" s="32"/>
      <c r="G16" s="101" t="s">
        <v>168</v>
      </c>
      <c r="H16" s="28">
        <f>POWER(Model!P3/Model!K3,1/6)-1</f>
        <v>0.1804270803344401</v>
      </c>
    </row>
    <row r="17" spans="1:12" x14ac:dyDescent="0.3">
      <c r="G17" s="101" t="s">
        <v>170</v>
      </c>
      <c r="H17" s="28">
        <f>POWER(Model!P209/Model!K209,1/6)-1</f>
        <v>0.18180171140611145</v>
      </c>
      <c r="K17" s="101" t="s">
        <v>115</v>
      </c>
      <c r="L17" s="118">
        <f>K14*(1+B2)/(B4-B2)</f>
        <v>192391.24798639774</v>
      </c>
    </row>
    <row r="18" spans="1:12" x14ac:dyDescent="0.3">
      <c r="B18" s="34" t="s">
        <v>153</v>
      </c>
      <c r="C18" s="34" t="s">
        <v>0</v>
      </c>
      <c r="D18" s="34" t="s">
        <v>154</v>
      </c>
      <c r="E18" s="35" t="s">
        <v>155</v>
      </c>
      <c r="G18" s="102" t="s">
        <v>171</v>
      </c>
      <c r="H18" s="28">
        <f>POWER(Model!P217/Model!K217,1/6)-1</f>
        <v>0.26325461890106694</v>
      </c>
      <c r="K18" s="101" t="s">
        <v>206</v>
      </c>
      <c r="L18" s="118">
        <f>-PV(B4,M14,,L17)</f>
        <v>49382.041458788022</v>
      </c>
    </row>
    <row r="19" spans="1:12" x14ac:dyDescent="0.3">
      <c r="A19" s="1">
        <v>0</v>
      </c>
      <c r="B19" s="36" t="s">
        <v>156</v>
      </c>
      <c r="C19" s="29" cm="1">
        <f t="array" ref="C19">INDEX(Model!$F$3:$P$3,,COLUMN(Model!$A$1)+A19)</f>
        <v>28836.09</v>
      </c>
      <c r="D19" s="29" cm="1">
        <f t="array" ref="D19">INDEX(Model!$F$18:$P$18,,COLUMN(Model!$A$1)+Excutesummary!A19)</f>
        <v>4736.2999999999993</v>
      </c>
      <c r="E19" s="28">
        <f t="shared" ref="E19:E29" si="2">D19/C19</f>
        <v>0.16424903653720041</v>
      </c>
      <c r="K19" s="101"/>
      <c r="L19" s="29">
        <f>L15+L18</f>
        <v>100274.54149283865</v>
      </c>
    </row>
    <row r="20" spans="1:12" x14ac:dyDescent="0.3">
      <c r="A20" s="1">
        <v>1</v>
      </c>
      <c r="B20" s="36" t="s">
        <v>157</v>
      </c>
      <c r="C20" s="29" cm="1">
        <f t="array" ref="C20">INDEX(Model!$F$3:$P$3,,COLUMN(Model!$A$1)+A20)</f>
        <v>30800.62</v>
      </c>
      <c r="D20" s="29" cm="1">
        <f t="array" ref="D20">INDEX(Model!$F$18:$P$18,,COLUMN(Model!$A$1)+Excutesummary!A20)</f>
        <v>4599.0899999999929</v>
      </c>
      <c r="E20" s="28">
        <f t="shared" si="2"/>
        <v>0.14931809814218003</v>
      </c>
      <c r="K20" s="101" t="s">
        <v>207</v>
      </c>
      <c r="L20" s="29">
        <f>B9</f>
        <v>5166.9600000000009</v>
      </c>
    </row>
    <row r="21" spans="1:12" x14ac:dyDescent="0.3">
      <c r="A21" s="1">
        <v>2</v>
      </c>
      <c r="B21" s="36" t="s">
        <v>158</v>
      </c>
      <c r="C21" s="29" cm="1">
        <f t="array" ref="C21">INDEX(Model!$F$3:$P$3,,COLUMN(Model!$A$1)+A21)</f>
        <v>29245.47</v>
      </c>
      <c r="D21" s="29" cm="1">
        <f t="array" ref="D21">INDEX(Model!$F$18:$P$18,,COLUMN(Model!$A$1)+Excutesummary!A21)</f>
        <v>3925.6800000000039</v>
      </c>
      <c r="E21" s="28">
        <f t="shared" si="2"/>
        <v>0.13423207081301836</v>
      </c>
      <c r="K21" s="101" t="s">
        <v>208</v>
      </c>
      <c r="L21" s="29">
        <f>L19+L20</f>
        <v>105441.50149283865</v>
      </c>
    </row>
    <row r="22" spans="1:12" x14ac:dyDescent="0.3">
      <c r="A22" s="1">
        <v>3</v>
      </c>
      <c r="B22" s="36" t="s">
        <v>159</v>
      </c>
      <c r="C22" s="29" cm="1">
        <f t="array" ref="C22">INDEX(Model!$F$3:$P$3,,COLUMN(Model!$A$1)+A22)</f>
        <v>33805.65</v>
      </c>
      <c r="D22" s="29" cm="1">
        <f t="array" ref="D22">INDEX(Model!$F$18:$P$18,,COLUMN(Model!$A$1)+Excutesummary!A22)</f>
        <v>4551.3900000000067</v>
      </c>
      <c r="E22" s="28">
        <f t="shared" si="2"/>
        <v>0.13463400348758289</v>
      </c>
    </row>
    <row r="23" spans="1:12" x14ac:dyDescent="0.3">
      <c r="A23" s="1">
        <v>4</v>
      </c>
      <c r="B23" s="36" t="s">
        <v>160</v>
      </c>
      <c r="C23" s="29" cm="1">
        <f t="array" ref="C23">INDEX(Model!$F$3:$P$3,,COLUMN(Model!$A$1)+A23)</f>
        <v>37455.72</v>
      </c>
      <c r="D23" s="29" cm="1">
        <f t="array" ref="D23">INDEX(Model!$F$18:$P$18,,COLUMN(Model!$A$1)+Excutesummary!A23)</f>
        <v>6148.260000000002</v>
      </c>
      <c r="E23" s="28">
        <f t="shared" si="2"/>
        <v>0.16414742527977041</v>
      </c>
    </row>
    <row r="24" spans="1:12" x14ac:dyDescent="0.3">
      <c r="A24" s="1">
        <v>5</v>
      </c>
      <c r="B24" s="37" t="s">
        <v>161</v>
      </c>
      <c r="C24" s="29" cm="1">
        <f t="array" ref="C24">INDEX(Model!$F$3:$P$3,,COLUMN(Model!$A$1)+A24)</f>
        <v>50446.579199592103</v>
      </c>
      <c r="D24" s="29" cm="1">
        <f t="array" ref="D24">INDEX(Model!$F$18:$P$18,,COLUMN(Model!$A$1)+Excutesummary!A24)</f>
        <v>6734.3136543738365</v>
      </c>
      <c r="E24" s="28">
        <f t="shared" si="2"/>
        <v>0.13349396056627538</v>
      </c>
      <c r="G24" s="124" t="s">
        <v>210</v>
      </c>
      <c r="H24" s="95">
        <f>E3</f>
        <v>1.4999999999999999E-2</v>
      </c>
      <c r="I24" s="95">
        <f t="shared" ref="I24:L24" si="3">F3</f>
        <v>0.02</v>
      </c>
      <c r="J24" s="95">
        <f t="shared" si="3"/>
        <v>2.5000000000000001E-2</v>
      </c>
      <c r="K24" s="95">
        <f t="shared" si="3"/>
        <v>3.0000000000000002E-2</v>
      </c>
      <c r="L24" s="95">
        <f t="shared" si="3"/>
        <v>3.5000000000000003E-2</v>
      </c>
    </row>
    <row r="25" spans="1:12" ht="22.2" customHeight="1" x14ac:dyDescent="0.3">
      <c r="A25" s="1">
        <v>6</v>
      </c>
      <c r="B25" s="37" t="s">
        <v>162</v>
      </c>
      <c r="C25" s="29" cm="1">
        <f t="array" ref="C25">INDEX(Model!$F$3:$P$3,,COLUMN(Model!$A$1)+A25)</f>
        <v>61484.010235229442</v>
      </c>
      <c r="D25" s="29" cm="1">
        <f t="array" ref="D25">INDEX(Model!$F$18:$P$18,,COLUMN(Model!$A$1)+Excutesummary!A25)</f>
        <v>8084.0901722026465</v>
      </c>
      <c r="E25" s="28">
        <f t="shared" si="2"/>
        <v>0.13148280571280271</v>
      </c>
      <c r="G25" s="126" t="s">
        <v>211</v>
      </c>
      <c r="H25" s="95"/>
      <c r="I25" s="95"/>
      <c r="J25" s="95"/>
      <c r="K25" s="95"/>
      <c r="L25" s="95"/>
    </row>
    <row r="26" spans="1:12" x14ac:dyDescent="0.3">
      <c r="A26" s="1">
        <v>7</v>
      </c>
      <c r="B26" s="37" t="s">
        <v>163</v>
      </c>
      <c r="C26" s="29" cm="1">
        <f t="array" ref="C26">INDEX(Model!$F$3:$P$3,,COLUMN(Model!$A$1)+A26)</f>
        <v>74983.272443503447</v>
      </c>
      <c r="D26" s="29" cm="1">
        <f t="array" ref="D26">INDEX(Model!$F$18:$P$18,,COLUMN(Model!$A$1)+Excutesummary!A26)</f>
        <v>9734.9260485864652</v>
      </c>
      <c r="E26" s="28">
        <f t="shared" si="2"/>
        <v>0.12982797004386942</v>
      </c>
      <c r="G26" s="95">
        <f>D4</f>
        <v>0.10499999999999998</v>
      </c>
      <c r="H26" s="30">
        <f>E4</f>
        <v>125552.73275152223</v>
      </c>
      <c r="I26" s="30">
        <f t="shared" ref="I26:L26" si="4">F4</f>
        <v>129663.36524571579</v>
      </c>
      <c r="J26" s="30">
        <f t="shared" si="4"/>
        <v>134287.82680168352</v>
      </c>
      <c r="K26" s="30">
        <f t="shared" si="4"/>
        <v>139528.88323178029</v>
      </c>
      <c r="L26" s="30">
        <f t="shared" si="4"/>
        <v>145518.66200903375</v>
      </c>
    </row>
    <row r="27" spans="1:12" x14ac:dyDescent="0.3">
      <c r="A27" s="1">
        <v>8</v>
      </c>
      <c r="B27" s="37" t="s">
        <v>164</v>
      </c>
      <c r="C27" s="29" cm="1">
        <f t="array" ref="C27">INDEX(Model!$F$3:$P$3,,COLUMN(Model!$A$1)+A27)</f>
        <v>91500.751190008552</v>
      </c>
      <c r="D27" s="29" cm="1">
        <f t="array" ref="D27">INDEX(Model!$F$18:$P$18,,COLUMN(Model!$A$1)+Excutesummary!A27)</f>
        <v>11754.862107419714</v>
      </c>
      <c r="E27" s="28">
        <f t="shared" si="2"/>
        <v>0.12846738365032451</v>
      </c>
      <c r="G27" s="95">
        <f t="shared" ref="G27:G31" si="5">D5</f>
        <v>0.10999999999999999</v>
      </c>
      <c r="H27" s="30">
        <f t="shared" ref="H27:L27" si="6">E5</f>
        <v>117121.43753113838</v>
      </c>
      <c r="I27" s="30">
        <f t="shared" si="6"/>
        <v>120621.18141293859</v>
      </c>
      <c r="J27" s="30">
        <f t="shared" si="6"/>
        <v>124532.65986906824</v>
      </c>
      <c r="K27" s="30">
        <f t="shared" si="6"/>
        <v>128933.07313221411</v>
      </c>
      <c r="L27" s="30">
        <f t="shared" si="6"/>
        <v>133920.2081637794</v>
      </c>
    </row>
    <row r="28" spans="1:12" x14ac:dyDescent="0.3">
      <c r="A28" s="1">
        <v>9</v>
      </c>
      <c r="B28" s="37" t="s">
        <v>165</v>
      </c>
      <c r="C28" s="29" cm="1">
        <f t="array" ref="C28">INDEX(Model!$F$3:$P$3,,COLUMN(Model!$A$1)+A28)</f>
        <v>111719.68873243847</v>
      </c>
      <c r="D28" s="29" cm="1">
        <f t="array" ref="D28">INDEX(Model!$F$18:$P$18,,COLUMN(Model!$A$1)+Excutesummary!A28)</f>
        <v>14227.452606250736</v>
      </c>
      <c r="E28" s="28">
        <f t="shared" si="2"/>
        <v>0.12734955465481629</v>
      </c>
      <c r="G28" s="95">
        <f t="shared" si="5"/>
        <v>0.11499999999999999</v>
      </c>
      <c r="H28" s="30">
        <f t="shared" ref="H28:L28" si="7">E6</f>
        <v>109601.29647303103</v>
      </c>
      <c r="I28" s="30">
        <f t="shared" si="7"/>
        <v>112599.1333514467</v>
      </c>
      <c r="J28" s="30">
        <f t="shared" si="7"/>
        <v>115930.06321635301</v>
      </c>
      <c r="K28" s="30">
        <f t="shared" si="7"/>
        <v>119652.867183013</v>
      </c>
      <c r="L28" s="30">
        <f t="shared" si="7"/>
        <v>123841.02164550549</v>
      </c>
    </row>
    <row r="29" spans="1:12" x14ac:dyDescent="0.3">
      <c r="A29" s="1">
        <v>10</v>
      </c>
      <c r="B29" s="37" t="s">
        <v>166</v>
      </c>
      <c r="C29" s="29" cm="1">
        <f t="array" ref="C29">INDEX(Model!$F$3:$P$3,,COLUMN(Model!$A$1)+A29)</f>
        <v>136479.27500607108</v>
      </c>
      <c r="D29" s="29" cm="1">
        <f t="array" ref="D29">INDEX(Model!$F$18:$P$18,,COLUMN(Model!$A$1)+Excutesummary!A29)</f>
        <v>17255.322772361047</v>
      </c>
      <c r="E29" s="28">
        <f t="shared" si="2"/>
        <v>0.12643181737002537</v>
      </c>
      <c r="G29" s="95">
        <f t="shared" si="5"/>
        <v>0.12</v>
      </c>
      <c r="H29" s="30">
        <f t="shared" ref="H29:L29" si="8">E7</f>
        <v>102859.43396558177</v>
      </c>
      <c r="I29" s="30">
        <f t="shared" si="8"/>
        <v>105441.50149283865</v>
      </c>
      <c r="J29" s="30">
        <f t="shared" si="8"/>
        <v>108295.36560191207</v>
      </c>
      <c r="K29" s="30">
        <f t="shared" si="8"/>
        <v>111466.32572310475</v>
      </c>
      <c r="L29" s="30">
        <f t="shared" si="8"/>
        <v>115010.33997620242</v>
      </c>
    </row>
    <row r="30" spans="1:12" x14ac:dyDescent="0.3">
      <c r="G30" s="95">
        <f t="shared" si="5"/>
        <v>0.125</v>
      </c>
      <c r="H30" s="30">
        <f t="shared" ref="H30:L30" si="9">E8</f>
        <v>96787.258347427458</v>
      </c>
      <c r="I30" s="30">
        <f t="shared" si="9"/>
        <v>99022.350394336085</v>
      </c>
      <c r="J30" s="30">
        <f t="shared" si="9"/>
        <v>101480.95164593554</v>
      </c>
      <c r="K30" s="30">
        <f t="shared" si="9"/>
        <v>104198.35302928231</v>
      </c>
      <c r="L30" s="30">
        <f t="shared" si="9"/>
        <v>107217.68789966762</v>
      </c>
    </row>
    <row r="31" spans="1:12" x14ac:dyDescent="0.3">
      <c r="G31" s="95">
        <f t="shared" si="5"/>
        <v>0.13</v>
      </c>
      <c r="H31" s="30">
        <f t="shared" ref="H31:L31" si="10">E9</f>
        <v>91295.176354431169</v>
      </c>
      <c r="I31" s="30">
        <f t="shared" si="10"/>
        <v>93238.753307387742</v>
      </c>
      <c r="J31" s="30">
        <f t="shared" si="10"/>
        <v>95367.432827292534</v>
      </c>
      <c r="K31" s="30">
        <f t="shared" si="10"/>
        <v>97708.980299187839</v>
      </c>
      <c r="L31" s="30">
        <f t="shared" si="10"/>
        <v>100297.00645233525</v>
      </c>
    </row>
    <row r="32" spans="1:12" x14ac:dyDescent="0.3">
      <c r="B32" s="105" t="s">
        <v>200</v>
      </c>
      <c r="C32" s="105" t="s">
        <v>198</v>
      </c>
      <c r="D32" s="105" t="s">
        <v>199</v>
      </c>
    </row>
    <row r="33" spans="2:13" ht="14.4" x14ac:dyDescent="0.3">
      <c r="B33" s="104" t="s">
        <v>5</v>
      </c>
      <c r="C33" s="106">
        <f>AVERAGE(Model!B125:J125)</f>
        <v>0.67574783452617604</v>
      </c>
      <c r="D33" s="107">
        <f>Model!K125</f>
        <v>0.68500000000000005</v>
      </c>
      <c r="E33" s="46"/>
      <c r="F33" s="46"/>
    </row>
    <row r="34" spans="2:13" ht="14.4" x14ac:dyDescent="0.3">
      <c r="B34" s="104" t="s">
        <v>6</v>
      </c>
      <c r="C34" s="106">
        <f>AVERAGE(Model!B126:J126)</f>
        <v>1.8767121175539711E-3</v>
      </c>
      <c r="D34" s="107">
        <f>Model!K126</f>
        <v>1.2927264513938058E-2</v>
      </c>
    </row>
    <row r="35" spans="2:13" ht="14.4" x14ac:dyDescent="0.3">
      <c r="B35" s="104" t="s">
        <v>7</v>
      </c>
      <c r="C35" s="106">
        <f>AVERAGE(Model!H127:J127)</f>
        <v>3.6150947292108341E-4</v>
      </c>
      <c r="D35" s="107">
        <f>Model!K127</f>
        <v>4.7819131497138486E-3</v>
      </c>
      <c r="G35" s="105" t="s">
        <v>212</v>
      </c>
      <c r="H35" s="105" t="s">
        <v>213</v>
      </c>
      <c r="J35" s="103" t="s">
        <v>153</v>
      </c>
      <c r="K35" s="103" t="s">
        <v>231</v>
      </c>
      <c r="L35" s="134" t="s">
        <v>232</v>
      </c>
      <c r="M35" s="134" t="s">
        <v>233</v>
      </c>
    </row>
    <row r="36" spans="2:13" ht="28.8" x14ac:dyDescent="0.3">
      <c r="B36" s="104" t="s">
        <v>8</v>
      </c>
      <c r="C36" s="106">
        <f>AVERAGE(Model!B128:J128)</f>
        <v>5.6329003610153326E-2</v>
      </c>
      <c r="D36" s="107">
        <f>Model!K128</f>
        <v>6.5000000000000002E-2</v>
      </c>
      <c r="G36" s="127" t="s">
        <v>96</v>
      </c>
      <c r="H36" s="29">
        <f>Model!K209</f>
        <v>4145.8995580616856</v>
      </c>
      <c r="J36" s="101">
        <v>2020</v>
      </c>
      <c r="K36" s="29">
        <f>Model!F9+Model!F10+Model!F11</f>
        <v>19697.41</v>
      </c>
      <c r="L36" s="29">
        <f>Model!F83</f>
        <v>1091.97</v>
      </c>
      <c r="M36" s="29">
        <f>Model!F59</f>
        <v>3030.5099999999998</v>
      </c>
    </row>
    <row r="37" spans="2:13" ht="28.8" x14ac:dyDescent="0.3">
      <c r="B37" s="104" t="s">
        <v>9</v>
      </c>
      <c r="C37" s="106">
        <f>AVERAGE(Model!B129:J129)</f>
        <v>0.11003834208369727</v>
      </c>
      <c r="D37" s="107">
        <f>Model!K129</f>
        <v>0.11</v>
      </c>
      <c r="G37" s="127" t="s">
        <v>97</v>
      </c>
      <c r="H37" s="29">
        <f>Model!K210</f>
        <v>793.1</v>
      </c>
      <c r="J37" s="101">
        <v>2021</v>
      </c>
      <c r="K37" s="29">
        <f>Model!G9+Model!G10+Model!G11</f>
        <v>21762.33</v>
      </c>
      <c r="L37" s="29">
        <f>Model!G83</f>
        <v>1469.55</v>
      </c>
      <c r="M37" s="29">
        <f>Model!G59</f>
        <v>5205</v>
      </c>
    </row>
    <row r="38" spans="2:13" ht="28.8" x14ac:dyDescent="0.3">
      <c r="B38" s="101"/>
      <c r="C38" s="101"/>
      <c r="D38" s="101"/>
      <c r="G38" s="127" t="s">
        <v>98</v>
      </c>
      <c r="H38" s="29">
        <f>Model!K211</f>
        <v>0</v>
      </c>
      <c r="J38" s="101">
        <v>2022</v>
      </c>
      <c r="K38" s="29">
        <f>Model!H9+Model!H10+Model!H11</f>
        <v>20826.73</v>
      </c>
      <c r="L38" s="29">
        <f>Model!H83</f>
        <v>1122.6500000000001</v>
      </c>
      <c r="M38" s="29">
        <f>Model!H59</f>
        <v>4260.34</v>
      </c>
    </row>
    <row r="39" spans="2:13" ht="43.2" x14ac:dyDescent="0.3">
      <c r="G39" s="127" t="s">
        <v>99</v>
      </c>
      <c r="H39" s="29">
        <f>Model!K212</f>
        <v>1495.8111167342631</v>
      </c>
      <c r="J39" s="101">
        <v>2023</v>
      </c>
      <c r="K39" s="29">
        <f>Model!I9+Model!I10+Model!I11</f>
        <v>23858.12</v>
      </c>
      <c r="L39" s="29">
        <f>Model!I83</f>
        <v>1434.09</v>
      </c>
      <c r="M39" s="29">
        <f>Model!I59</f>
        <v>4704.46</v>
      </c>
    </row>
    <row r="40" spans="2:13" ht="14.4" x14ac:dyDescent="0.3">
      <c r="G40" s="127" t="s">
        <v>100</v>
      </c>
      <c r="H40" s="128">
        <f>Model!K213</f>
        <v>1271.4099999999999</v>
      </c>
      <c r="J40" s="101">
        <v>2024</v>
      </c>
      <c r="K40" s="29">
        <f>Model!J9+Model!J10+Model!J11</f>
        <v>25430.77</v>
      </c>
      <c r="L40" s="29">
        <f>Model!J83</f>
        <v>1443.76</v>
      </c>
      <c r="M40" s="29">
        <f>Model!J59</f>
        <v>5528.15</v>
      </c>
    </row>
    <row r="41" spans="2:13" x14ac:dyDescent="0.3">
      <c r="B41" s="1" t="s">
        <v>243</v>
      </c>
      <c r="C41" s="47">
        <f>Model!I51+Model!I52+Model!I58</f>
        <v>352.59999999999997</v>
      </c>
      <c r="G41" s="101" t="s">
        <v>214</v>
      </c>
      <c r="H41" s="29">
        <f>H36+H37+H38-H39-H40</f>
        <v>2171.778441327423</v>
      </c>
    </row>
    <row r="42" spans="2:13" x14ac:dyDescent="0.3">
      <c r="B42" s="1" t="s">
        <v>244</v>
      </c>
      <c r="C42" s="30">
        <f>Model!J51+Model!J52+Model!J58</f>
        <v>315.70999999999998</v>
      </c>
    </row>
    <row r="43" spans="2:13" x14ac:dyDescent="0.3">
      <c r="B43" s="1" t="s">
        <v>242</v>
      </c>
      <c r="C43" s="47">
        <f>(C41+C42)/2</f>
        <v>334.15499999999997</v>
      </c>
    </row>
    <row r="44" spans="2:13" x14ac:dyDescent="0.3">
      <c r="B44" s="1" t="s">
        <v>15</v>
      </c>
      <c r="C44" s="30">
        <f>Model!J24</f>
        <v>18.5</v>
      </c>
    </row>
  </sheetData>
  <conditionalFormatting sqref="E4:I9">
    <cfRule type="colorScale" priority="1">
      <colorScale>
        <cfvo type="min"/>
        <cfvo type="num" val="$F$7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70998-8A41-4507-A231-4923550BD193}">
  <dimension ref="B1:AJ40"/>
  <sheetViews>
    <sheetView showGridLines="0" tabSelected="1" zoomScale="70" zoomScaleNormal="70" workbookViewId="0">
      <selection activeCell="X32" sqref="X32"/>
    </sheetView>
  </sheetViews>
  <sheetFormatPr defaultRowHeight="13.8" x14ac:dyDescent="0.3"/>
  <cols>
    <col min="1" max="23" width="8.88671875" style="1"/>
    <col min="24" max="24" width="20" style="1" bestFit="1" customWidth="1"/>
    <col min="25" max="31" width="8.88671875" style="1"/>
    <col min="32" max="32" width="9.44140625" style="1" bestFit="1" customWidth="1"/>
    <col min="33" max="16384" width="8.88671875" style="1"/>
  </cols>
  <sheetData>
    <row r="1" spans="2:36" x14ac:dyDescent="0.3">
      <c r="B1" s="31"/>
      <c r="C1" s="31"/>
      <c r="D1" s="31"/>
      <c r="E1" s="31"/>
    </row>
    <row r="2" spans="2:36" ht="21" x14ac:dyDescent="0.4">
      <c r="B2" s="137"/>
      <c r="C2" s="137"/>
      <c r="D2" s="137"/>
      <c r="E2" s="137"/>
    </row>
    <row r="3" spans="2:36" x14ac:dyDescent="0.3">
      <c r="B3" s="138"/>
      <c r="C3" s="138"/>
      <c r="D3" s="138"/>
      <c r="E3" s="138"/>
    </row>
    <row r="4" spans="2:36" x14ac:dyDescent="0.3">
      <c r="B4" s="138"/>
      <c r="C4" s="138"/>
      <c r="D4" s="138"/>
      <c r="E4" s="138"/>
    </row>
    <row r="5" spans="2:36" x14ac:dyDescent="0.3">
      <c r="B5" s="138"/>
      <c r="C5" s="138"/>
      <c r="D5" s="138"/>
      <c r="E5" s="138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</row>
    <row r="6" spans="2:36" x14ac:dyDescent="0.3">
      <c r="B6" s="138"/>
      <c r="C6" s="138"/>
      <c r="D6" s="138"/>
      <c r="E6" s="138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</row>
    <row r="7" spans="2:36" x14ac:dyDescent="0.3"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spans="2:36" ht="21" x14ac:dyDescent="0.4">
      <c r="W8" s="136" t="s">
        <v>215</v>
      </c>
      <c r="X8" s="136"/>
      <c r="Y8" s="136"/>
      <c r="Z8" s="136"/>
      <c r="AA8" s="136"/>
      <c r="AB8" s="136" t="s">
        <v>216</v>
      </c>
      <c r="AC8" s="136"/>
      <c r="AD8" s="136"/>
      <c r="AE8" s="136"/>
      <c r="AF8" s="136"/>
      <c r="AG8" s="31"/>
      <c r="AH8" s="31"/>
      <c r="AI8" s="31"/>
      <c r="AJ8" s="31"/>
    </row>
    <row r="9" spans="2:36" x14ac:dyDescent="0.3">
      <c r="W9" s="1" t="s">
        <v>217</v>
      </c>
      <c r="X9" s="31"/>
      <c r="Y9" s="31"/>
      <c r="Z9" s="129">
        <f>Model!K3</f>
        <v>50446.579199592103</v>
      </c>
      <c r="AA9" s="31"/>
      <c r="AB9" s="31"/>
      <c r="AC9" s="31" t="s">
        <v>219</v>
      </c>
      <c r="AD9" s="31"/>
      <c r="AE9" s="31"/>
      <c r="AF9" s="130">
        <f>Model!J18/Model!J3</f>
        <v>0.16414742527977041</v>
      </c>
      <c r="AG9" s="31"/>
      <c r="AH9" s="31"/>
      <c r="AI9" s="31"/>
      <c r="AJ9" s="31"/>
    </row>
    <row r="10" spans="2:36" x14ac:dyDescent="0.3">
      <c r="W10" s="1" t="s">
        <v>218</v>
      </c>
      <c r="X10" s="31"/>
      <c r="Y10" s="31"/>
      <c r="Z10" s="32">
        <f>POWER(Model!J3/Model!F3,1/5)-1</f>
        <v>5.3698484681432124E-2</v>
      </c>
      <c r="AA10" s="31"/>
      <c r="AB10" s="31"/>
      <c r="AC10" s="31" t="s">
        <v>221</v>
      </c>
      <c r="AD10" s="31"/>
      <c r="AE10" s="31"/>
      <c r="AF10" s="130">
        <f>Model!P18/Model!P3</f>
        <v>0.12643181737002537</v>
      </c>
      <c r="AG10" s="31"/>
      <c r="AH10" s="31"/>
      <c r="AI10" s="31"/>
      <c r="AJ10" s="31"/>
    </row>
    <row r="11" spans="2:36" x14ac:dyDescent="0.3">
      <c r="W11" s="1" t="s">
        <v>220</v>
      </c>
      <c r="X11" s="31"/>
      <c r="Y11" s="31"/>
      <c r="Z11" s="130">
        <f>Model!B223</f>
        <v>0.02</v>
      </c>
      <c r="AA11" s="31"/>
      <c r="AB11" s="31"/>
      <c r="AC11" s="31" t="s">
        <v>222</v>
      </c>
      <c r="AD11" s="31"/>
      <c r="AE11" s="31"/>
      <c r="AF11" s="132">
        <f>AVERAGE(Model!F32:J32)</f>
        <v>0.23541105058797451</v>
      </c>
      <c r="AG11" s="31"/>
      <c r="AH11" s="31"/>
      <c r="AI11" s="31"/>
      <c r="AJ11" s="31"/>
    </row>
    <row r="12" spans="2:36" x14ac:dyDescent="0.3"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spans="2:36" x14ac:dyDescent="0.3"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spans="2:36" ht="21" x14ac:dyDescent="0.4">
      <c r="W14" s="136" t="s">
        <v>223</v>
      </c>
      <c r="X14" s="136"/>
      <c r="Y14" s="136"/>
      <c r="Z14" s="136"/>
      <c r="AA14" s="136"/>
      <c r="AB14" s="136" t="s">
        <v>224</v>
      </c>
      <c r="AC14" s="136"/>
      <c r="AD14" s="136"/>
      <c r="AE14" s="136"/>
      <c r="AF14" s="136"/>
      <c r="AG14" s="31"/>
      <c r="AH14" s="31"/>
      <c r="AI14" s="31"/>
      <c r="AJ14" s="31"/>
    </row>
    <row r="15" spans="2:36" x14ac:dyDescent="0.3">
      <c r="W15" s="1" t="s">
        <v>225</v>
      </c>
      <c r="X15" s="31"/>
      <c r="Y15" s="31"/>
      <c r="Z15" s="130">
        <f>AVERAGE(Model!F196/Model!F3,Model!G196/Model!G3,Model!H196/Model!H3,Model!I196/Model!I3,Model!J196/Model!J3)</f>
        <v>0.199902279990847</v>
      </c>
      <c r="AA15" s="31"/>
      <c r="AB15" s="31"/>
      <c r="AC15" s="31" t="s">
        <v>227</v>
      </c>
      <c r="AD15" s="31"/>
      <c r="AE15" s="31"/>
      <c r="AF15" s="130">
        <f>AVERAGE(Model!F189/Model!F170,Model!G189/Model!G170,Model!H189/Model!H170,Model!I189/Model!I170,Model!J189/Model!J170)</f>
        <v>0.12355069606866323</v>
      </c>
      <c r="AG15" s="31"/>
      <c r="AH15" s="31"/>
      <c r="AI15" s="31"/>
      <c r="AJ15" s="31"/>
    </row>
    <row r="16" spans="2:36" x14ac:dyDescent="0.3">
      <c r="W16" s="1" t="s">
        <v>226</v>
      </c>
      <c r="X16" s="31"/>
      <c r="Y16" s="31"/>
      <c r="Z16" s="130">
        <f>AVERAGE(Model!F20/Model!F3,Model!G20/Model!G3,Model!H20/Model!H3,Model!I20/Model!I3,Model!J20/Model!J3)</f>
        <v>2.2197122777143957E-2</v>
      </c>
      <c r="AA16" s="31"/>
      <c r="AB16" s="31"/>
      <c r="AC16" s="31" t="s">
        <v>230</v>
      </c>
      <c r="AD16" s="31"/>
      <c r="AE16" s="31"/>
      <c r="AF16" s="133">
        <f>AVERAGE(Excutesummary!M36/Excutesummary!K36*365,Excutesummary!M37/Excutesummary!K37*365,Excutesummary!M38/Excutesummary!K38*365,Excutesummary!M39/Excutesummary!K39*365,Excutesummary!M40/Excutesummary!K40*365)</f>
        <v>73.887268118125405</v>
      </c>
      <c r="AG16" s="31"/>
      <c r="AH16" s="31"/>
      <c r="AI16" s="31"/>
      <c r="AJ16" s="31"/>
    </row>
    <row r="17" spans="23:36" x14ac:dyDescent="0.3">
      <c r="X17" s="31"/>
      <c r="Y17" s="31"/>
      <c r="Z17" s="31"/>
      <c r="AA17" s="31"/>
      <c r="AB17" s="31"/>
      <c r="AC17" s="31" t="s">
        <v>228</v>
      </c>
      <c r="AD17" s="31"/>
      <c r="AE17" s="31"/>
      <c r="AF17" s="133">
        <f>AVERAGE(Model!F156/Model!F170*365,Model!G156/Model!G170*365,Model!H156/Model!H170*365,Model!I156/Model!I170*365,Model!J156/Model!J170*365)</f>
        <v>26.873147237370251</v>
      </c>
      <c r="AG17" s="31"/>
      <c r="AH17" s="31"/>
      <c r="AI17" s="31"/>
      <c r="AJ17" s="31"/>
    </row>
    <row r="18" spans="23:36" x14ac:dyDescent="0.3">
      <c r="X18" s="31"/>
      <c r="Y18" s="31"/>
      <c r="Z18" s="31"/>
      <c r="AA18" s="31"/>
      <c r="AB18" s="31"/>
      <c r="AC18" s="31" t="s">
        <v>229</v>
      </c>
      <c r="AD18" s="31"/>
      <c r="AE18" s="31"/>
      <c r="AF18" s="133">
        <f>AVERAGE(Excutesummary!L36/Excutesummary!K36*365,Excutesummary!L37/Excutesummary!K37*365,Excutesummary!L38/Excutesummary!K38*365,Excutesummary!L39/Excutesummary!K39*365,Excutesummary!L40/Excutesummary!K40*365)</f>
        <v>21.443751788381288</v>
      </c>
      <c r="AG18" s="31"/>
      <c r="AH18" s="31"/>
      <c r="AI18" s="31"/>
      <c r="AJ18" s="31"/>
    </row>
    <row r="19" spans="23:36" x14ac:dyDescent="0.3"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spans="23:36" ht="21" x14ac:dyDescent="0.4">
      <c r="W20" s="136" t="s">
        <v>234</v>
      </c>
      <c r="X20" s="136"/>
      <c r="Y20" s="136"/>
      <c r="Z20" s="136"/>
      <c r="AA20" s="136"/>
      <c r="AB20" s="136"/>
      <c r="AC20" s="136"/>
      <c r="AD20" s="136"/>
      <c r="AE20" s="136"/>
      <c r="AF20" s="136"/>
      <c r="AG20" s="31"/>
      <c r="AH20" s="31"/>
      <c r="AI20" s="31"/>
      <c r="AJ20" s="31"/>
    </row>
    <row r="21" spans="23:36" x14ac:dyDescent="0.3">
      <c r="W21" s="1" t="s">
        <v>235</v>
      </c>
      <c r="X21" s="31"/>
      <c r="Y21" s="31"/>
      <c r="Z21" s="130">
        <f>Model!B226</f>
        <v>7.0000000000000007E-2</v>
      </c>
      <c r="AA21" s="31"/>
      <c r="AB21" s="31"/>
      <c r="AC21" s="31" t="s">
        <v>238</v>
      </c>
      <c r="AD21" s="31"/>
      <c r="AE21" s="31"/>
      <c r="AF21" s="130">
        <f>Z21+Z22*Z23</f>
        <v>0.12</v>
      </c>
      <c r="AG21" s="31"/>
      <c r="AH21" s="31"/>
      <c r="AI21" s="31"/>
      <c r="AJ21" s="31"/>
    </row>
    <row r="22" spans="23:36" x14ac:dyDescent="0.3">
      <c r="W22" s="1" t="s">
        <v>236</v>
      </c>
      <c r="X22" s="31"/>
      <c r="Y22" s="31"/>
      <c r="Z22" s="135">
        <f>Model!B228</f>
        <v>1</v>
      </c>
      <c r="AA22" s="31"/>
      <c r="AB22" s="31"/>
      <c r="AC22" s="31" t="s">
        <v>239</v>
      </c>
      <c r="AD22" s="31"/>
      <c r="AE22" s="31"/>
      <c r="AF22" s="130">
        <f>(Excutesummary!C44/Excutesummary!C43)*(1-Dashboard!Z24)</f>
        <v>3.8754470230880883E-2</v>
      </c>
      <c r="AG22" s="31"/>
      <c r="AH22" s="31"/>
      <c r="AI22" s="31"/>
      <c r="AJ22" s="31"/>
    </row>
    <row r="23" spans="23:36" x14ac:dyDescent="0.3">
      <c r="W23" s="1" t="s">
        <v>237</v>
      </c>
      <c r="X23" s="31"/>
      <c r="Y23" s="31"/>
      <c r="Z23" s="130">
        <f>Model!B227</f>
        <v>4.9999999999999989E-2</v>
      </c>
      <c r="AA23" s="31"/>
      <c r="AB23" s="31"/>
      <c r="AC23" s="31" t="s">
        <v>240</v>
      </c>
      <c r="AD23" s="31"/>
      <c r="AE23" s="31"/>
      <c r="AF23" s="130">
        <f>(Model!B234*Model!B232)/Model!B231</f>
        <v>1.0276788405498907</v>
      </c>
      <c r="AG23" s="31"/>
      <c r="AH23" s="31"/>
      <c r="AI23" s="31"/>
      <c r="AJ23" s="31"/>
    </row>
    <row r="24" spans="23:36" x14ac:dyDescent="0.3">
      <c r="W24" s="1" t="s">
        <v>222</v>
      </c>
      <c r="X24" s="31"/>
      <c r="Y24" s="31"/>
      <c r="Z24" s="131">
        <f>Model!K32</f>
        <v>0.3</v>
      </c>
      <c r="AA24" s="31"/>
      <c r="AB24" s="31"/>
      <c r="AC24" s="31" t="s">
        <v>241</v>
      </c>
      <c r="AD24" s="31"/>
      <c r="AE24" s="31"/>
      <c r="AF24" s="31">
        <v>0</v>
      </c>
      <c r="AG24" s="31"/>
      <c r="AH24" s="31"/>
      <c r="AI24" s="31"/>
      <c r="AJ24" s="31"/>
    </row>
    <row r="25" spans="23:36" x14ac:dyDescent="0.3"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spans="23:36" x14ac:dyDescent="0.3"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31"/>
      <c r="AH26" s="31"/>
      <c r="AI26" s="31"/>
      <c r="AJ26" s="31"/>
    </row>
    <row r="27" spans="23:36" x14ac:dyDescent="0.3">
      <c r="X27" s="130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spans="23:36" x14ac:dyDescent="0.3"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spans="23:36" x14ac:dyDescent="0.3"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spans="23:36" x14ac:dyDescent="0.3"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spans="23:36" x14ac:dyDescent="0.3"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spans="23:36" x14ac:dyDescent="0.3"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spans="24:36" x14ac:dyDescent="0.3"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spans="24:36" x14ac:dyDescent="0.3"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spans="24:36" x14ac:dyDescent="0.3"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spans="24:36" x14ac:dyDescent="0.3"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spans="24:36" x14ac:dyDescent="0.3"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spans="24:36" x14ac:dyDescent="0.3"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spans="24:36" x14ac:dyDescent="0.3"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spans="24:36" x14ac:dyDescent="0.3"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</sheetData>
  <mergeCells count="9">
    <mergeCell ref="W26:AF26"/>
    <mergeCell ref="W14:AA14"/>
    <mergeCell ref="AB14:AF14"/>
    <mergeCell ref="W20:AF20"/>
    <mergeCell ref="B2:E2"/>
    <mergeCell ref="B3:E6"/>
    <mergeCell ref="X5:AJ6"/>
    <mergeCell ref="W8:AA8"/>
    <mergeCell ref="AB8:AF8"/>
  </mergeCells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F0C3B-55F5-4C66-A1BC-9C278D3E8DB6}">
  <dimension ref="A1:H96"/>
  <sheetViews>
    <sheetView showGridLines="0" topLeftCell="A73" workbookViewId="0">
      <selection activeCell="G78" sqref="G78"/>
    </sheetView>
  </sheetViews>
  <sheetFormatPr defaultRowHeight="13.8" x14ac:dyDescent="0.3"/>
  <cols>
    <col min="1" max="1" width="14.33203125" style="1" customWidth="1"/>
    <col min="2" max="2" width="15.88671875" style="1" customWidth="1"/>
    <col min="3" max="3" width="17.44140625" style="1" customWidth="1"/>
    <col min="4" max="16384" width="8.88671875" style="1"/>
  </cols>
  <sheetData>
    <row r="1" spans="1:7" ht="21" x14ac:dyDescent="0.3">
      <c r="A1" s="140" t="s">
        <v>119</v>
      </c>
      <c r="B1" s="140"/>
      <c r="C1" s="140"/>
      <c r="D1" s="140"/>
      <c r="E1" s="140"/>
      <c r="F1" s="140"/>
      <c r="G1" s="140"/>
    </row>
    <row r="2" spans="1:7" ht="49.8" customHeight="1" x14ac:dyDescent="0.3">
      <c r="A2" s="145" t="s">
        <v>172</v>
      </c>
      <c r="B2" s="145"/>
      <c r="C2" s="145"/>
      <c r="D2" s="145"/>
      <c r="E2" s="145"/>
      <c r="F2" s="145"/>
    </row>
    <row r="3" spans="1:7" ht="15.6" x14ac:dyDescent="0.3">
      <c r="A3" s="2"/>
    </row>
    <row r="4" spans="1:7" ht="18" x14ac:dyDescent="0.35">
      <c r="A4" s="3" t="s">
        <v>120</v>
      </c>
    </row>
    <row r="5" spans="1:7" ht="15.6" x14ac:dyDescent="0.3">
      <c r="A5" s="4" t="s">
        <v>173</v>
      </c>
    </row>
    <row r="6" spans="1:7" ht="15.6" x14ac:dyDescent="0.3">
      <c r="A6" s="4" t="s">
        <v>174</v>
      </c>
    </row>
    <row r="7" spans="1:7" ht="15.6" x14ac:dyDescent="0.3">
      <c r="A7" s="141" t="s">
        <v>175</v>
      </c>
      <c r="B7" s="141"/>
      <c r="C7" s="141"/>
      <c r="D7" s="141"/>
      <c r="E7" s="141"/>
    </row>
    <row r="8" spans="1:7" ht="15.6" x14ac:dyDescent="0.3">
      <c r="A8" s="5" t="s">
        <v>176</v>
      </c>
    </row>
    <row r="9" spans="1:7" ht="15.6" x14ac:dyDescent="0.3">
      <c r="A9" s="5" t="s">
        <v>177</v>
      </c>
    </row>
    <row r="11" spans="1:7" ht="18" x14ac:dyDescent="0.3">
      <c r="A11" s="6" t="s">
        <v>121</v>
      </c>
    </row>
    <row r="12" spans="1:7" ht="15.6" x14ac:dyDescent="0.3">
      <c r="A12" s="4"/>
    </row>
    <row r="13" spans="1:7" ht="15.6" x14ac:dyDescent="0.3">
      <c r="A13" s="141" t="s">
        <v>122</v>
      </c>
      <c r="B13" s="141"/>
    </row>
    <row r="14" spans="1:7" ht="15.6" x14ac:dyDescent="0.3">
      <c r="A14" s="141" t="s">
        <v>123</v>
      </c>
      <c r="B14" s="141"/>
      <c r="C14" s="141"/>
      <c r="D14" s="141"/>
      <c r="E14" s="141"/>
      <c r="F14" s="141"/>
      <c r="G14" s="141"/>
    </row>
    <row r="15" spans="1:7" ht="15.6" x14ac:dyDescent="0.3">
      <c r="A15" s="4" t="s">
        <v>178</v>
      </c>
    </row>
    <row r="16" spans="1:7" ht="15.6" x14ac:dyDescent="0.3">
      <c r="A16" s="4" t="s">
        <v>179</v>
      </c>
    </row>
    <row r="17" spans="1:8" ht="15.6" x14ac:dyDescent="0.3">
      <c r="A17" s="7"/>
    </row>
    <row r="18" spans="1:8" ht="18" x14ac:dyDescent="0.3">
      <c r="A18" s="6" t="s">
        <v>124</v>
      </c>
    </row>
    <row r="19" spans="1:8" ht="15.6" x14ac:dyDescent="0.3">
      <c r="A19" s="141" t="s">
        <v>180</v>
      </c>
      <c r="B19" s="141"/>
      <c r="C19" s="141"/>
    </row>
    <row r="20" spans="1:8" ht="15.6" x14ac:dyDescent="0.3">
      <c r="A20" s="2" t="s">
        <v>125</v>
      </c>
      <c r="B20" s="2"/>
      <c r="C20" s="2"/>
      <c r="D20" s="2"/>
      <c r="E20" s="2"/>
      <c r="F20" s="2"/>
      <c r="G20" s="2"/>
      <c r="H20" s="2"/>
    </row>
    <row r="21" spans="1:8" ht="15.6" x14ac:dyDescent="0.3">
      <c r="A21" s="8"/>
    </row>
    <row r="22" spans="1:8" ht="18" x14ac:dyDescent="0.35">
      <c r="A22" s="3" t="s">
        <v>126</v>
      </c>
    </row>
    <row r="24" spans="1:8" ht="15.6" x14ac:dyDescent="0.3">
      <c r="A24" s="4" t="s">
        <v>181</v>
      </c>
    </row>
    <row r="25" spans="1:8" ht="15.6" x14ac:dyDescent="0.3">
      <c r="A25" s="4" t="s">
        <v>182</v>
      </c>
    </row>
    <row r="26" spans="1:8" ht="15.6" x14ac:dyDescent="0.3">
      <c r="A26" s="4" t="s">
        <v>183</v>
      </c>
    </row>
    <row r="27" spans="1:8" ht="15.6" x14ac:dyDescent="0.3">
      <c r="A27" s="9" t="s">
        <v>184</v>
      </c>
    </row>
    <row r="28" spans="1:8" ht="15.6" x14ac:dyDescent="0.3">
      <c r="A28" s="4" t="s">
        <v>185</v>
      </c>
      <c r="B28" s="10"/>
      <c r="C28" s="10"/>
    </row>
    <row r="29" spans="1:8" ht="15.6" x14ac:dyDescent="0.3">
      <c r="A29" s="10"/>
      <c r="B29" s="11"/>
      <c r="C29" s="11"/>
    </row>
    <row r="30" spans="1:8" ht="18" x14ac:dyDescent="0.35">
      <c r="A30" s="3" t="s">
        <v>149</v>
      </c>
    </row>
    <row r="32" spans="1:8" ht="15.6" x14ac:dyDescent="0.3">
      <c r="A32" s="141" t="s">
        <v>127</v>
      </c>
      <c r="B32" s="141"/>
    </row>
    <row r="33" spans="1:5" ht="15.6" x14ac:dyDescent="0.3">
      <c r="A33" s="141" t="s">
        <v>128</v>
      </c>
      <c r="B33" s="141"/>
      <c r="C33" s="141"/>
      <c r="D33" s="141"/>
      <c r="E33" s="141"/>
    </row>
    <row r="34" spans="1:5" ht="15.6" x14ac:dyDescent="0.3">
      <c r="A34" s="5" t="s">
        <v>129</v>
      </c>
      <c r="B34" s="11"/>
      <c r="C34" s="11"/>
    </row>
    <row r="35" spans="1:5" ht="15.6" x14ac:dyDescent="0.3">
      <c r="A35" s="5" t="s">
        <v>130</v>
      </c>
      <c r="B35" s="11"/>
      <c r="C35" s="11"/>
    </row>
    <row r="36" spans="1:5" ht="15.6" x14ac:dyDescent="0.3">
      <c r="A36" s="8" t="s">
        <v>89</v>
      </c>
      <c r="B36" s="11"/>
      <c r="C36" s="11"/>
    </row>
    <row r="37" spans="1:5" ht="15.6" x14ac:dyDescent="0.3">
      <c r="A37" s="9" t="s">
        <v>186</v>
      </c>
      <c r="B37" s="11"/>
      <c r="C37" s="11"/>
    </row>
    <row r="38" spans="1:5" ht="15.6" x14ac:dyDescent="0.3">
      <c r="A38" s="10"/>
      <c r="B38" s="12"/>
      <c r="C38" s="11"/>
    </row>
    <row r="39" spans="1:5" ht="18" x14ac:dyDescent="0.35">
      <c r="A39" s="3" t="s">
        <v>77</v>
      </c>
      <c r="B39" s="12"/>
      <c r="C39" s="11"/>
    </row>
    <row r="40" spans="1:5" ht="15.6" x14ac:dyDescent="0.3">
      <c r="A40" s="2" t="s">
        <v>187</v>
      </c>
    </row>
    <row r="41" spans="1:5" ht="15.6" x14ac:dyDescent="0.3">
      <c r="A41" s="8" t="s">
        <v>50</v>
      </c>
    </row>
    <row r="42" spans="1:5" ht="15.6" x14ac:dyDescent="0.3">
      <c r="A42" s="9" t="s">
        <v>131</v>
      </c>
    </row>
    <row r="43" spans="1:5" ht="15.6" x14ac:dyDescent="0.3">
      <c r="A43" s="9" t="s">
        <v>132</v>
      </c>
    </row>
    <row r="44" spans="1:5" ht="15.6" x14ac:dyDescent="0.3">
      <c r="A44" s="9" t="s">
        <v>133</v>
      </c>
    </row>
    <row r="45" spans="1:5" ht="15.6" x14ac:dyDescent="0.3">
      <c r="A45" s="9" t="s">
        <v>134</v>
      </c>
    </row>
    <row r="46" spans="1:5" ht="15.6" x14ac:dyDescent="0.3">
      <c r="A46" s="9" t="s">
        <v>188</v>
      </c>
    </row>
    <row r="47" spans="1:5" ht="15.6" x14ac:dyDescent="0.3">
      <c r="A47" s="8" t="s">
        <v>32</v>
      </c>
    </row>
    <row r="48" spans="1:5" ht="15.6" x14ac:dyDescent="0.3">
      <c r="A48" s="9" t="s">
        <v>151</v>
      </c>
      <c r="B48" s="13"/>
      <c r="C48" s="13"/>
    </row>
    <row r="49" spans="1:3" ht="15.6" x14ac:dyDescent="0.3">
      <c r="A49" s="9" t="s">
        <v>135</v>
      </c>
      <c r="B49" s="14"/>
      <c r="C49" s="14"/>
    </row>
    <row r="50" spans="1:3" ht="15.6" x14ac:dyDescent="0.3">
      <c r="A50" s="9" t="s">
        <v>136</v>
      </c>
      <c r="B50" s="14"/>
      <c r="C50" s="10"/>
    </row>
    <row r="51" spans="1:3" ht="15.6" x14ac:dyDescent="0.3">
      <c r="A51" s="9" t="s">
        <v>137</v>
      </c>
      <c r="B51" s="14"/>
      <c r="C51" s="14"/>
    </row>
    <row r="53" spans="1:3" ht="18" x14ac:dyDescent="0.3">
      <c r="A53" s="6" t="s">
        <v>150</v>
      </c>
    </row>
    <row r="54" spans="1:3" ht="15.6" x14ac:dyDescent="0.3">
      <c r="A54" s="9" t="s">
        <v>189</v>
      </c>
    </row>
    <row r="56" spans="1:3" ht="18" x14ac:dyDescent="0.3">
      <c r="A56" s="15" t="s">
        <v>138</v>
      </c>
    </row>
    <row r="57" spans="1:3" x14ac:dyDescent="0.3">
      <c r="A57" s="16"/>
    </row>
    <row r="58" spans="1:3" x14ac:dyDescent="0.3">
      <c r="A58" s="17" t="s">
        <v>190</v>
      </c>
    </row>
    <row r="59" spans="1:3" x14ac:dyDescent="0.3">
      <c r="A59" s="17" t="s">
        <v>191</v>
      </c>
    </row>
    <row r="60" spans="1:3" x14ac:dyDescent="0.3">
      <c r="A60" s="17" t="s">
        <v>192</v>
      </c>
    </row>
    <row r="61" spans="1:3" x14ac:dyDescent="0.3">
      <c r="A61" s="16" t="s">
        <v>193</v>
      </c>
    </row>
    <row r="62" spans="1:3" ht="18" x14ac:dyDescent="0.3">
      <c r="A62" s="15" t="s">
        <v>139</v>
      </c>
    </row>
    <row r="63" spans="1:3" x14ac:dyDescent="0.3">
      <c r="A63" s="16" t="s">
        <v>194</v>
      </c>
    </row>
    <row r="64" spans="1:3" x14ac:dyDescent="0.3">
      <c r="A64" s="16"/>
    </row>
    <row r="65" spans="1:5" ht="18" x14ac:dyDescent="0.3">
      <c r="A65" s="15" t="s">
        <v>140</v>
      </c>
    </row>
    <row r="66" spans="1:5" x14ac:dyDescent="0.3">
      <c r="A66" s="16" t="s">
        <v>195</v>
      </c>
    </row>
    <row r="67" spans="1:5" x14ac:dyDescent="0.3">
      <c r="A67" s="18" t="s">
        <v>141</v>
      </c>
    </row>
    <row r="68" spans="1:5" x14ac:dyDescent="0.3">
      <c r="A68" s="18" t="s">
        <v>142</v>
      </c>
    </row>
    <row r="69" spans="1:5" x14ac:dyDescent="0.3">
      <c r="A69" s="18" t="s">
        <v>143</v>
      </c>
    </row>
    <row r="70" spans="1:5" x14ac:dyDescent="0.3">
      <c r="A70" s="18" t="s">
        <v>144</v>
      </c>
    </row>
    <row r="73" spans="1:5" ht="18" x14ac:dyDescent="0.3">
      <c r="A73" s="19" t="s">
        <v>145</v>
      </c>
      <c r="B73" s="20"/>
      <c r="C73" s="20"/>
      <c r="D73" s="20"/>
      <c r="E73" s="21"/>
    </row>
    <row r="74" spans="1:5" x14ac:dyDescent="0.3">
      <c r="A74" s="22"/>
      <c r="E74" s="23"/>
    </row>
    <row r="75" spans="1:5" x14ac:dyDescent="0.3">
      <c r="A75" s="22" t="s">
        <v>196</v>
      </c>
      <c r="E75" s="23"/>
    </row>
    <row r="76" spans="1:5" x14ac:dyDescent="0.3">
      <c r="A76" s="22"/>
      <c r="E76" s="23"/>
    </row>
    <row r="77" spans="1:5" x14ac:dyDescent="0.3">
      <c r="A77" s="22" t="s">
        <v>197</v>
      </c>
      <c r="E77" s="23"/>
    </row>
    <row r="78" spans="1:5" x14ac:dyDescent="0.3">
      <c r="A78" s="22"/>
      <c r="E78" s="23"/>
    </row>
    <row r="79" spans="1:5" x14ac:dyDescent="0.3">
      <c r="A79" s="24" t="s">
        <v>146</v>
      </c>
      <c r="E79" s="23"/>
    </row>
    <row r="80" spans="1:5" x14ac:dyDescent="0.3">
      <c r="A80" s="22"/>
      <c r="E80" s="23"/>
    </row>
    <row r="81" spans="1:7" x14ac:dyDescent="0.3">
      <c r="A81" s="24" t="s">
        <v>147</v>
      </c>
      <c r="E81" s="23"/>
    </row>
    <row r="82" spans="1:7" x14ac:dyDescent="0.3">
      <c r="A82" s="22"/>
      <c r="E82" s="23"/>
    </row>
    <row r="83" spans="1:7" x14ac:dyDescent="0.3">
      <c r="A83" s="24" t="s">
        <v>148</v>
      </c>
      <c r="E83" s="23"/>
    </row>
    <row r="84" spans="1:7" x14ac:dyDescent="0.3">
      <c r="A84" s="22"/>
      <c r="E84" s="23"/>
    </row>
    <row r="85" spans="1:7" ht="22.2" customHeight="1" x14ac:dyDescent="0.3">
      <c r="A85" s="142" t="s">
        <v>245</v>
      </c>
      <c r="B85" s="143"/>
      <c r="C85" s="143"/>
      <c r="D85" s="143"/>
      <c r="E85" s="144"/>
    </row>
    <row r="88" spans="1:7" ht="21" x14ac:dyDescent="0.3">
      <c r="A88" s="147"/>
      <c r="B88" s="148"/>
      <c r="C88" s="148"/>
      <c r="D88" s="148"/>
      <c r="E88" s="148"/>
      <c r="F88" s="148"/>
      <c r="G88" s="148"/>
    </row>
    <row r="89" spans="1:7" x14ac:dyDescent="0.3">
      <c r="A89" s="148"/>
      <c r="B89" s="148"/>
      <c r="C89" s="148"/>
      <c r="D89" s="148"/>
      <c r="E89" s="148"/>
      <c r="F89" s="148"/>
      <c r="G89" s="148"/>
    </row>
    <row r="90" spans="1:7" x14ac:dyDescent="0.3">
      <c r="A90" s="149"/>
      <c r="B90" s="148"/>
      <c r="C90" s="148"/>
      <c r="D90" s="148"/>
      <c r="E90" s="148"/>
      <c r="F90" s="148"/>
      <c r="G90" s="148"/>
    </row>
    <row r="91" spans="1:7" x14ac:dyDescent="0.3">
      <c r="A91" s="148"/>
      <c r="B91" s="148"/>
      <c r="C91" s="148"/>
      <c r="D91" s="148"/>
      <c r="E91" s="148"/>
      <c r="F91" s="148"/>
      <c r="G91" s="148"/>
    </row>
    <row r="92" spans="1:7" ht="15.6" x14ac:dyDescent="0.3">
      <c r="A92" s="150"/>
      <c r="B92" s="148"/>
      <c r="C92" s="148"/>
      <c r="D92" s="148"/>
      <c r="E92" s="148"/>
      <c r="F92" s="148"/>
      <c r="G92" s="148"/>
    </row>
    <row r="93" spans="1:7" x14ac:dyDescent="0.3">
      <c r="A93" s="151"/>
      <c r="B93" s="152"/>
      <c r="C93" s="152"/>
      <c r="D93" s="152"/>
      <c r="E93" s="153"/>
      <c r="F93" s="152"/>
      <c r="G93" s="152"/>
    </row>
    <row r="94" spans="1:7" x14ac:dyDescent="0.3">
      <c r="A94" s="154"/>
      <c r="B94" s="155"/>
      <c r="C94" s="155"/>
      <c r="D94" s="155"/>
      <c r="E94" s="156"/>
      <c r="F94" s="155"/>
      <c r="G94" s="155"/>
    </row>
    <row r="95" spans="1:7" x14ac:dyDescent="0.3">
      <c r="A95" s="157"/>
      <c r="B95" s="155"/>
      <c r="C95" s="155"/>
      <c r="D95" s="155"/>
      <c r="E95" s="155"/>
      <c r="F95" s="155"/>
      <c r="G95" s="155"/>
    </row>
    <row r="96" spans="1:7" x14ac:dyDescent="0.3">
      <c r="A96" s="157"/>
      <c r="B96" s="155"/>
      <c r="C96" s="155"/>
      <c r="D96" s="155"/>
      <c r="E96" s="155"/>
      <c r="F96" s="155"/>
      <c r="G96" s="155"/>
    </row>
  </sheetData>
  <mergeCells count="9">
    <mergeCell ref="A1:G1"/>
    <mergeCell ref="A7:E7"/>
    <mergeCell ref="A13:B13"/>
    <mergeCell ref="A85:E85"/>
    <mergeCell ref="A14:G14"/>
    <mergeCell ref="A19:C19"/>
    <mergeCell ref="A32:B32"/>
    <mergeCell ref="A33:E33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</vt:lpstr>
      <vt:lpstr>Excutesummary</vt:lpstr>
      <vt:lpstr>Dashboard</vt:lpstr>
      <vt:lpstr>Notes &amp;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Bharathi G</dc:creator>
  <cp:lastModifiedBy>Bharati G</cp:lastModifiedBy>
  <dcterms:created xsi:type="dcterms:W3CDTF">2025-11-05T18:46:45Z</dcterms:created>
  <dcterms:modified xsi:type="dcterms:W3CDTF">2026-01-11T14:43:35Z</dcterms:modified>
</cp:coreProperties>
</file>